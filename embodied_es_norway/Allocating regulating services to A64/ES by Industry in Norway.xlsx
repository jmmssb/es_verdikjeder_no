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uk\GitHub\es_verdikjeder_no\embodied_es_norway\Allocating regulating services to A64\"/>
    </mc:Choice>
  </mc:AlternateContent>
  <xr:revisionPtr revIDLastSave="0" documentId="13_ncr:1_{4BDCB5E4-102F-47A4-B6BA-EFDC79A0CF64}" xr6:coauthVersionLast="47" xr6:coauthVersionMax="47" xr10:uidLastSave="{00000000-0000-0000-0000-000000000000}"/>
  <bookViews>
    <workbookView xWindow="-28920" yWindow="-120" windowWidth="29040" windowHeight="15720" xr2:uid="{A1035001-6385-4110-8612-5BE8E2A88A94}"/>
  </bookViews>
  <sheets>
    <sheet name="USE IND (A38) - ES (7)_ADJ" sheetId="6" r:id="rId1"/>
    <sheet name="USE IND (A38) - ES (7) " sheetId="3" r:id="rId2"/>
    <sheet name="ENCORE average" sheetId="5" r:id="rId3"/>
    <sheet name="USE ES to Industries " sheetId="1" r:id="rId4"/>
    <sheet name="SUPPLY ES from Ecosystem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6" l="1"/>
  <c r="E16" i="6"/>
  <c r="D16" i="6"/>
  <c r="J4" i="6"/>
  <c r="J3" i="6"/>
  <c r="I3" i="6"/>
  <c r="G3" i="6"/>
  <c r="F3" i="6"/>
  <c r="E3" i="6"/>
  <c r="D3" i="6"/>
  <c r="F5" i="3"/>
  <c r="J7" i="3" l="1"/>
  <c r="F26" i="3"/>
  <c r="E19" i="3"/>
  <c r="D19" i="3"/>
  <c r="J5" i="3"/>
  <c r="I5" i="3"/>
  <c r="G5" i="3"/>
  <c r="E5" i="3"/>
  <c r="D5" i="3"/>
  <c r="AK4" i="1"/>
  <c r="X4" i="1"/>
  <c r="AX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tc={759C9F30-1F09-42AA-82BD-039643E56E13}</author>
  </authors>
  <commentList>
    <comment ref="H3" authorId="0" shapeId="0" xr:uid="{759C9F30-1F09-42AA-82BD-039643E56E13}">
      <text>
        <t>[Kommentartråd]
Din versjon av Excel lar deg lese denne kommentartråden. Eventuelle endringer i den vil imidlertid bli fjernet hvis filen åpnes i en nyere versjon av Excel. Finn ut mer: https://go.microsoft.com/fwlink/?linkid=870924
Kommentar:
    What is the reference year of this service?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tc={AECCEEDB-4C9A-4D7A-B319-049E9D9B1EF3}</author>
  </authors>
  <commentList>
    <comment ref="H5" authorId="0" shapeId="0" xr:uid="{AECCEEDB-4C9A-4D7A-B319-049E9D9B1EF3}">
      <text>
        <t>[Kommentartråd]
Din versjon av Excel lar deg lese denne kommentartråden. Eventuelle endringer i den vil imidlertid bli fjernet hvis filen åpnes i en nyere versjon av Excel. Finn ut mer: https://go.microsoft.com/fwlink/?linkid=870924
Kommentar:
    What is the reference year of this service?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tc={8D11DBE3-3520-497B-806B-363E343DA4F6}</author>
  </authors>
  <commentList>
    <comment ref="E3" authorId="0" shapeId="0" xr:uid="{8D11DBE3-3520-497B-806B-363E343DA4F6}">
      <text>
        <t>[Kommentartråd]
Din versjon av Excel lar deg lese denne kommentartråden. Eventuelle endringer i den vil imidlertid bli fjernet hvis filen åpnes i en nyere versjon av Excel. Finn ut mer: https://go.microsoft.com/fwlink/?linkid=870924
Kommentar:
    What is the reference year of this service?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tc={14A169A8-878F-4305-A0B7-EB17781654D8}</author>
    <author>tc={E387D55F-916C-4514-A070-066BAC237BA2}</author>
  </authors>
  <commentList>
    <comment ref="E4" authorId="0" shapeId="0" xr:uid="{14A169A8-878F-4305-A0B7-EB17781654D8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Dette er totalen av tjenesten.</t>
      </text>
    </comment>
    <comment ref="Y4" authorId="1" shapeId="0" xr:uid="{E387D55F-916C-4514-A070-066BAC237BA2}">
      <text>
        <t>[Kommentartråd]
Din versjon av Excel lar deg lese denne kommentartråden. Eventuelle endringer i den vil imidlertid bli fjernet hvis filen åpnes i en nyere versjon av Excel. Finn ut mer: https://go.microsoft.com/fwlink/?linkid=870924
Kommentar:
    Dette er også totalen av tjenesten</t>
      </text>
    </comment>
  </commentList>
</comments>
</file>

<file path=xl/sharedStrings.xml><?xml version="1.0" encoding="utf-8"?>
<sst xmlns="http://schemas.openxmlformats.org/spreadsheetml/2006/main" count="593" uniqueCount="295">
  <si>
    <t>Reference year (2021)</t>
  </si>
  <si>
    <t>Ecosystem services</t>
  </si>
  <si>
    <t>Crop provision</t>
  </si>
  <si>
    <t>Pollination</t>
  </si>
  <si>
    <t>Wood provision</t>
  </si>
  <si>
    <t>Air filtration</t>
  </si>
  <si>
    <t>Local climate regulation</t>
  </si>
  <si>
    <t>Nature based tourism</t>
  </si>
  <si>
    <t>Flood control</t>
  </si>
  <si>
    <t>Global climate regulation</t>
  </si>
  <si>
    <t xml:space="preserve">Unit </t>
  </si>
  <si>
    <t>1000 tonnes</t>
  </si>
  <si>
    <t>1000 m3</t>
  </si>
  <si>
    <t>tonnes PM2,5</t>
  </si>
  <si>
    <t>degrees C</t>
  </si>
  <si>
    <t>overnight stays</t>
  </si>
  <si>
    <t>ha</t>
  </si>
  <si>
    <t>tonnes of storage</t>
  </si>
  <si>
    <t>tonnes of sequestration</t>
  </si>
  <si>
    <t>Total</t>
  </si>
  <si>
    <t>Industries in the National Accounts (A38)</t>
  </si>
  <si>
    <t>Agriculture, forestry and fishing</t>
  </si>
  <si>
    <t>Mining and quarrying</t>
  </si>
  <si>
    <t>Manufacture of food products, beverages and tobacco products</t>
  </si>
  <si>
    <t>Manufacture of textiles, wearing apparel and leather products</t>
  </si>
  <si>
    <t>Manufacture of wood and paper products, and printing</t>
  </si>
  <si>
    <t>Refined petroleum, chemical and pharmaceutical products</t>
  </si>
  <si>
    <t>Manufacture of rubber and plastic products, and other non-metalic mineral products</t>
  </si>
  <si>
    <t>Manufacture of basic metals and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</si>
  <si>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</si>
  <si>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</si>
  <si>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</si>
  <si>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transport equipment</t>
  </si>
  <si>
    <t>Manufacture of furniture</t>
  </si>
  <si>
    <t>Electricity, gas, steam and air-conditioning supply</t>
  </si>
  <si>
    <t>Water supply</t>
  </si>
  <si>
    <t>Construction</t>
  </si>
  <si>
    <t>Wholesale and retail trade, repair of motor vehicles and motorcycles</t>
  </si>
  <si>
    <t>Tranport and storage</t>
  </si>
  <si>
    <t>Accommodation and food service activities</t>
  </si>
  <si>
    <t>Publishing, audiovisual and broadcasting activities</t>
  </si>
  <si>
    <t>Telecommunications</t>
  </si>
  <si>
    <t>Computer programming, consultancy and related activities</t>
  </si>
  <si>
    <t>Financial and insurance activities</t>
  </si>
  <si>
    <t>Real estate activities</t>
  </si>
  <si>
    <t>Legal and accounting activities, activities of head offices, management consultancy activties etc.</t>
  </si>
  <si>
    <t>Scientific research and development</t>
  </si>
  <si>
    <t>Advertising and market research</t>
  </si>
  <si>
    <t>Administrative and support service activities</t>
  </si>
  <si>
    <t>Public administration and defence</t>
  </si>
  <si>
    <t>Education</t>
  </si>
  <si>
    <t>Human health activities</t>
  </si>
  <si>
    <t>Social work activities</t>
  </si>
  <si>
    <t>Arts, entertainment and recreation</t>
  </si>
  <si>
    <t>Other service activities</t>
  </si>
  <si>
    <t>Activities of households as employers of domestic personnel and undifferentiated goods</t>
  </si>
  <si>
    <t>GREEN -&gt; COLOR TO INDUSTRIES</t>
  </si>
  <si>
    <t>BLUE COLOR -&gt;TO HOUSEHOLDS</t>
  </si>
  <si>
    <t>Code</t>
  </si>
  <si>
    <t>PROV_CROP_MF11_12</t>
  </si>
  <si>
    <t>PROV_CROP_MF11</t>
  </si>
  <si>
    <t>PROV_CROP_MF111</t>
  </si>
  <si>
    <t>PROV_CROP_MF112</t>
  </si>
  <si>
    <t>PROV_CROP_MF113</t>
  </si>
  <si>
    <t>PROV_CROP_MF114</t>
  </si>
  <si>
    <t>PROV_CROP_MF115</t>
  </si>
  <si>
    <t>PROV_CROP_MF116</t>
  </si>
  <si>
    <t>PROV_CROP_MF117</t>
  </si>
  <si>
    <t>PROV_CROP_MF118</t>
  </si>
  <si>
    <t>PROV_CROP_MF119</t>
  </si>
  <si>
    <t>PROV_CROP_MF11A</t>
  </si>
  <si>
    <t>PROV_CROP_MF12</t>
  </si>
  <si>
    <t>PROV_CROP_MF121</t>
  </si>
  <si>
    <t>PROV_CROP_MF1211</t>
  </si>
  <si>
    <t>PROV_CROP_MF1212</t>
  </si>
  <si>
    <t>PROV_CROP_MF122</t>
  </si>
  <si>
    <t>PROV_CROP_MF1221</t>
  </si>
  <si>
    <t>PROV_CROP_MF1222</t>
  </si>
  <si>
    <t>PROV_POL_MF11_12</t>
  </si>
  <si>
    <t>PROV_POL_MF11</t>
  </si>
  <si>
    <t>PROV_POL_MF111</t>
  </si>
  <si>
    <t>PROV_POL_MF112</t>
  </si>
  <si>
    <t>PROV_POL_MF113</t>
  </si>
  <si>
    <t>PROV_POL_MF114</t>
  </si>
  <si>
    <t>PROV_POL_MF115</t>
  </si>
  <si>
    <t>PROV_POL_MF116</t>
  </si>
  <si>
    <t>PROV_POL_MF117</t>
  </si>
  <si>
    <t>PROV_POL_MF118</t>
  </si>
  <si>
    <t>PROV_POL_MF119</t>
  </si>
  <si>
    <t>PROV_POL_MF11A</t>
  </si>
  <si>
    <t>PROV_POL_MF12</t>
  </si>
  <si>
    <t>PROV_POL_MF121</t>
  </si>
  <si>
    <t>PROV_POL_MF1211</t>
  </si>
  <si>
    <t>PROV_POL_MF1212</t>
  </si>
  <si>
    <t>PROV_POL_MF122</t>
  </si>
  <si>
    <t>PROV_POL_MF1221</t>
  </si>
  <si>
    <t>PROV_POL_MF1222</t>
  </si>
  <si>
    <t>PROV_WD_MF13MEMO</t>
  </si>
  <si>
    <t>PROV_WD_MF13</t>
  </si>
  <si>
    <t>PROV_WD_TOTAL</t>
  </si>
  <si>
    <t>REG_AIR_FILT_PM10</t>
  </si>
  <si>
    <t>REG_AIR_FILT_PM2_5</t>
  </si>
  <si>
    <t>REG_AIR_FILT_PEOPLE</t>
  </si>
  <si>
    <t>REG_CO2_SEQ_NET</t>
  </si>
  <si>
    <t>REG_CO2_SEQ_PRIM</t>
  </si>
  <si>
    <t>REG_CO2_STO_30CM</t>
  </si>
  <si>
    <t>REG_CO2_STO_100CM</t>
  </si>
  <si>
    <t>REG_CO2_STO_WHOLE</t>
  </si>
  <si>
    <t>REG_COOL_TEMP_RED_25</t>
  </si>
  <si>
    <t>REG_COOL_PEOPLE</t>
  </si>
  <si>
    <t>CULT_TOUR_NGT_SP</t>
  </si>
  <si>
    <t>CULT_RECR_VISITS</t>
  </si>
  <si>
    <t>REG_COOL_EXC_25</t>
  </si>
  <si>
    <t>REG_COOL_EXC_30</t>
  </si>
  <si>
    <t>REG_COOL_EXC_35</t>
  </si>
  <si>
    <t>REG_COOL_UA_EXC_25</t>
  </si>
  <si>
    <t>REG_COOL_UA_EXC_30</t>
  </si>
  <si>
    <t>REG_COOL_UA_EXC_35</t>
  </si>
  <si>
    <t>REG_CO2_EMIS</t>
  </si>
  <si>
    <t>Description</t>
  </si>
  <si>
    <t>Crop provision: all MF1.1 and MF1.2 crops</t>
  </si>
  <si>
    <t>Crop provision: MF.1.1   Crops (excluding fodder crops)</t>
  </si>
  <si>
    <t xml:space="preserve">Crop provision: MF.1.1.1   Cereals </t>
  </si>
  <si>
    <t>Crop provision: MF.1.1.2   Roots, tubers</t>
  </si>
  <si>
    <t xml:space="preserve">Crop provision: MF.1.1.3   Sugar crops </t>
  </si>
  <si>
    <t>Crop provision: MF.1.1.4   Pulses</t>
  </si>
  <si>
    <t xml:space="preserve">Crop provision: MF.1.1.5   Nuts </t>
  </si>
  <si>
    <t xml:space="preserve">Crop provision: MF.1.1.6   Oil-bearing crops </t>
  </si>
  <si>
    <t xml:space="preserve">Crop provision: MF.1.1.7   Vegetables </t>
  </si>
  <si>
    <t xml:space="preserve">Crop provision: MF.1.1.8   Fruits </t>
  </si>
  <si>
    <t xml:space="preserve">Crop provision: MF.1.1.9   Fibres </t>
  </si>
  <si>
    <t>Crop provision: MF.1.1.A   Other crops (excluding fodder crops) n.e.c.</t>
  </si>
  <si>
    <t>Crop provision: MF.1.2   Crop residues (used), fodder crops and grazed biomass</t>
  </si>
  <si>
    <t>Crop provision: MF.1.2.1   Crop residues (used)</t>
  </si>
  <si>
    <t>Crop provision: MF.1.2.1.1   Straw</t>
  </si>
  <si>
    <t>Crop provision: MF.1.2.1.2   Other crop residues (sugar and fodder beet leaves, etc.)</t>
  </si>
  <si>
    <t>Crop provision: MF.1.2.2   Fodder crops and grazed biomass</t>
  </si>
  <si>
    <t>Crop provision: MF.1.2.2.1   Fodder crops (including biomass harvest from grassland)</t>
  </si>
  <si>
    <t>Crop provision: MF.1.2.2.2   Grazed biomass</t>
  </si>
  <si>
    <t>Total crop provision</t>
  </si>
  <si>
    <t>Crop pollination: all MF1.1 and MF1.2 crops</t>
  </si>
  <si>
    <t>Crop pollination: MF.1.1   Crops (excluding fodder crops)</t>
  </si>
  <si>
    <t xml:space="preserve">Crop pollination: MF.1.1.1   Cereals </t>
  </si>
  <si>
    <t>Crop pollination: MF.1.1.2   Roots, tubers</t>
  </si>
  <si>
    <t xml:space="preserve">Crop pollination: MF.1.1.3   Sugar crops </t>
  </si>
  <si>
    <t>Crop pollination: MF.1.1.4   Pulses</t>
  </si>
  <si>
    <t xml:space="preserve">Crop pollination: MF.1.1.5   Nuts </t>
  </si>
  <si>
    <t xml:space="preserve">Crop pollination: MF.1.1.6   Oil-bearing crops </t>
  </si>
  <si>
    <t xml:space="preserve">Crop pollination: MF.1.1.7   Vegetables </t>
  </si>
  <si>
    <t xml:space="preserve">Crop pollination: MF.1.1.8   Fruits </t>
  </si>
  <si>
    <t xml:space="preserve">Crop pollination: MF.1.1.9   Fibres </t>
  </si>
  <si>
    <t>Crop pollination: MF.1.1.A   Other crops (excluding fodder crops) n.e.c.</t>
  </si>
  <si>
    <t>Total crop pollination</t>
  </si>
  <si>
    <t>Crop pollination: MF.1.2   Crop residues (used), fodder crops and grazed biomass</t>
  </si>
  <si>
    <t>Crop pollination: MF.1.2.1   Crop residues (used)</t>
  </si>
  <si>
    <t>Crop pollination: MF.1.2.1.1   Straw</t>
  </si>
  <si>
    <t>Crop pollination: MF.1.2.1.2   Other crop residues (sugar and fodder beet leaves, etc.)</t>
  </si>
  <si>
    <t>Crop pollination: MF.1.2.2   Fodder crops and grazed biomass</t>
  </si>
  <si>
    <t>Crop pollination: MF.1.2.2.1   Fodder crops (including biomass harvest from grassland)</t>
  </si>
  <si>
    <t>Crop pollination: MF.1.2.2.2   Grazed biomass</t>
  </si>
  <si>
    <t>Wood provision: increment cultivated</t>
  </si>
  <si>
    <t>Wood provision: removals non cultivated</t>
  </si>
  <si>
    <t>Wood provision: total</t>
  </si>
  <si>
    <t>Air filtration of PM10</t>
  </si>
  <si>
    <t>Air filtration of PM2.5</t>
  </si>
  <si>
    <t>Air filtration: benefitting people</t>
  </si>
  <si>
    <t>Global climate regulation: net sequestration (indicator)</t>
  </si>
  <si>
    <t>Global climate sequestration: primary net sequestration (ecosystem service)</t>
  </si>
  <si>
    <t>Global climate regulation: storage 30cm</t>
  </si>
  <si>
    <t>Global climate regulation: storage 100cm</t>
  </si>
  <si>
    <t>Global climate regulation: storage whole depth</t>
  </si>
  <si>
    <t>Local climate regulation: cooling</t>
  </si>
  <si>
    <t>Local climate regulation: benefitting people</t>
  </si>
  <si>
    <t>Nature-based tourism: overnight stays</t>
  </si>
  <si>
    <t>Nature-based recreation visits</t>
  </si>
  <si>
    <t>Days with maximum temperature exceeding 25°C</t>
  </si>
  <si>
    <t xml:space="preserve">Days with maximum temperature exceeding 30°C </t>
  </si>
  <si>
    <t>Days with maximum temperature exceeding 35°C</t>
  </si>
  <si>
    <t>Urban area with an observed daily maximum temperature exceeding 25°C during summer</t>
  </si>
  <si>
    <t>Urban area with an observed daily maximum temperature exceeding 30°C during summer</t>
  </si>
  <si>
    <t>Urban area with an observed daily maximum temperature exceeding 35°C during  summer</t>
  </si>
  <si>
    <t>CO2 emissions from ecosystems</t>
  </si>
  <si>
    <t>UNIT</t>
  </si>
  <si>
    <t>tonnes</t>
  </si>
  <si>
    <t>TOTAL REPORTED TO EUROSTAT</t>
  </si>
  <si>
    <t>Industries in the National Accounts (A64)</t>
  </si>
  <si>
    <t>NACE rev. 2</t>
  </si>
  <si>
    <t>Crop and animal production, hunting and related service activities</t>
  </si>
  <si>
    <t>0.1</t>
  </si>
  <si>
    <t>Forestry and logging</t>
  </si>
  <si>
    <t>0.2</t>
  </si>
  <si>
    <t>Fishing</t>
  </si>
  <si>
    <t>03-1</t>
  </si>
  <si>
    <t>Aquaculture</t>
  </si>
  <si>
    <t>03-2</t>
  </si>
  <si>
    <t>05 + 07 + 08 + 09.09</t>
  </si>
  <si>
    <t>Oil and gas extraction</t>
  </si>
  <si>
    <t>Service activities incidental to oil and gas</t>
  </si>
  <si>
    <t>05+07+08+09.09</t>
  </si>
  <si>
    <t>10 + 11 + 12</t>
  </si>
  <si>
    <t>13 + 14 + 15</t>
  </si>
  <si>
    <t>Manufacture of wood and wood products, except furniture</t>
  </si>
  <si>
    <t>Manufacture of paper and paper products</t>
  </si>
  <si>
    <t>Printing and reproduction of recorded media</t>
  </si>
  <si>
    <t>19 + 20 + 21</t>
  </si>
  <si>
    <t>Manufacture of rubber and plastic products</t>
  </si>
  <si>
    <t>Manufacture of other non-metallic mineral products</t>
  </si>
  <si>
    <t>Manufacture of basic metals</t>
  </si>
  <si>
    <t>Fabricated metal products, except machinery and equipment</t>
  </si>
  <si>
    <t>Manufacture of motor vehicles, trailers and semi-trailers</t>
  </si>
  <si>
    <t>Building of ships, oil platforms and moduls</t>
  </si>
  <si>
    <t>31 +32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</si>
  <si>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</si>
  <si>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</si>
  <si>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</si>
  <si>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</si>
  <si>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37 +38 + 39</t>
  </si>
  <si>
    <t>41 + 42 + 43</t>
  </si>
  <si>
    <t>Wholesale and retail trade and repair of motor vehicles</t>
  </si>
  <si>
    <t>Wholesale trade, except of motor vehicles</t>
  </si>
  <si>
    <t>Retail trade, except of motor vehicles</t>
  </si>
  <si>
    <t>Land transport, except transport via pipelines</t>
  </si>
  <si>
    <t>49.5</t>
  </si>
  <si>
    <t>Transport via pipelines</t>
  </si>
  <si>
    <t>50.101 + 50.201</t>
  </si>
  <si>
    <t>Ocean transport</t>
  </si>
  <si>
    <t>49.1 + 49.2 + 49.3 + 49.4</t>
  </si>
  <si>
    <t>Inland water transport and supply</t>
  </si>
  <si>
    <t>50.102 + 50.202 + 50.109 + 50.3 + 50.4 + 50.203 + 50.204</t>
  </si>
  <si>
    <t>Air transport</t>
  </si>
  <si>
    <t>Warehousing and support activities for transportation</t>
  </si>
  <si>
    <t>Postal and courier activities</t>
  </si>
  <si>
    <t>55 + 56</t>
  </si>
  <si>
    <t>Publishing activities</t>
  </si>
  <si>
    <t>Motion picture and video programme production, broadcasting</t>
  </si>
  <si>
    <t>59 + 60</t>
  </si>
  <si>
    <t>Computer programming and related activities</t>
  </si>
  <si>
    <t>62 + 63</t>
  </si>
  <si>
    <t>Financial service activities, except insurance and pension funding</t>
  </si>
  <si>
    <t>Insurance, except compulsory social security</t>
  </si>
  <si>
    <t>Activities auxiliary to financial services and insurance activities</t>
  </si>
  <si>
    <t>68 + calculations in the NA</t>
  </si>
  <si>
    <t>Legal and accounting activities</t>
  </si>
  <si>
    <t>69 + 70</t>
  </si>
  <si>
    <t>Architectural and engineering consultancy activities</t>
  </si>
  <si>
    <t>Other professional, scientific and technical activities</t>
  </si>
  <si>
    <t>74 + 75</t>
  </si>
  <si>
    <t>Rental and leasing activities</t>
  </si>
  <si>
    <t>Employment activities</t>
  </si>
  <si>
    <t>Travel agency and tour operator reservation service</t>
  </si>
  <si>
    <t>Security and investigation activities</t>
  </si>
  <si>
    <t>80 + 81 + 82</t>
  </si>
  <si>
    <t>87+88</t>
  </si>
  <si>
    <t>Creative, arts and entertainment activities</t>
  </si>
  <si>
    <t>90 + 91 + 92</t>
  </si>
  <si>
    <t>Sports activities and amusement and recreation activities</t>
  </si>
  <si>
    <t>Activities of membership organisations</t>
  </si>
  <si>
    <t>94+99</t>
  </si>
  <si>
    <t>Repair of computers and personal and household goods</t>
  </si>
  <si>
    <t>Other personal service activities</t>
  </si>
  <si>
    <t>Activities of households as employers</t>
  </si>
  <si>
    <t>Footer</t>
  </si>
  <si>
    <t>ECO01</t>
  </si>
  <si>
    <t>ECO02</t>
  </si>
  <si>
    <t>ECO03</t>
  </si>
  <si>
    <t>ECO04</t>
  </si>
  <si>
    <t>ECO05</t>
  </si>
  <si>
    <t>ECO06</t>
  </si>
  <si>
    <t>ECO07</t>
  </si>
  <si>
    <t>ECO08</t>
  </si>
  <si>
    <t>ECO09</t>
  </si>
  <si>
    <t>ECO10</t>
  </si>
  <si>
    <t>ECO11</t>
  </si>
  <si>
    <t>ECO12</t>
  </si>
  <si>
    <t>TOTAL</t>
  </si>
  <si>
    <t>1. Settlements and other artificial areas</t>
  </si>
  <si>
    <t>2. Cropland</t>
  </si>
  <si>
    <t>3. Grassland</t>
  </si>
  <si>
    <t>4. Forest and woodlands</t>
  </si>
  <si>
    <t>5. Heathlands and shrub</t>
  </si>
  <si>
    <t>6. Sparsely vegetated ecosystems</t>
  </si>
  <si>
    <t>7. Inland wetlands</t>
  </si>
  <si>
    <t>8. Rivers and canals</t>
  </si>
  <si>
    <t>9. Lakes and reservoirs</t>
  </si>
  <si>
    <t>10. Marine inlets and transitional waters</t>
  </si>
  <si>
    <t>11. Coastal beaches,  dunes and wetlands</t>
  </si>
  <si>
    <t>12. Marine ecosystems</t>
  </si>
  <si>
    <t>Total across ecosystems</t>
  </si>
  <si>
    <t>Value chain analysis</t>
  </si>
  <si>
    <t>Column1</t>
  </si>
  <si>
    <t>Column2</t>
  </si>
  <si>
    <t>63979.28</t>
  </si>
  <si>
    <t>1.656538777</t>
  </si>
  <si>
    <t>165855.72</t>
  </si>
  <si>
    <t>Average rating by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</si>
</sst>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62327"/>
      <name val="Arial"/>
      <family val="2"/>
    </font>
    <font>
      <b/>
      <sz val="11"/>
      <color rgb="FF162327"/>
      <name val="Arial"/>
      <family val="2"/>
    </font>
    <font>
      <b/>
      <sz val="18"/>
      <color rgb="FFFFFFFF"/>
      <name val="Arial"/>
      <family val="2"/>
    </font>
    <font>
      <sz val="11"/>
      <name val="Aptos Narrow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162327"/>
      <name val="Arial"/>
      <family val="2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9" fillId="0" borderId="0"/>
    <xf numFmtId="0" fontId="10" fillId="0" borderId="0" applyNumberFormat="0" applyFill="0" applyBorder="0" applyAlignment="0" applyProtection="0"/>
  </cellStyleXfs>
  <cellXfs count="112">
    <xf numFmtId="0" fontId="0" fillId="0" borderId="0" xfId="0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0" fontId="5" fillId="3" borderId="0" xfId="0" quotePrefix="1" applyFont="1" applyFill="1"/>
    <xf numFmtId="0" fontId="0" fillId="2" borderId="0" xfId="0" applyFill="1" applyAlignment="1">
      <alignment horizontal="left" vertical="center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vertical="top"/>
    </xf>
    <xf numFmtId="49" fontId="6" fillId="2" borderId="1" xfId="0" applyNumberFormat="1" applyFont="1" applyFill="1" applyBorder="1" applyAlignment="1">
      <alignment horizontal="left" vertical="top" wrapText="1"/>
    </xf>
    <xf numFmtId="0" fontId="5" fillId="3" borderId="1" xfId="0" quotePrefix="1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2" borderId="0" xfId="0" quotePrefix="1" applyFont="1" applyFill="1"/>
    <xf numFmtId="0" fontId="5" fillId="2" borderId="0" xfId="0" quotePrefix="1" applyFont="1" applyFill="1" applyAlignment="1">
      <alignment horizontal="left"/>
    </xf>
    <xf numFmtId="0" fontId="5" fillId="2" borderId="0" xfId="0" applyFont="1" applyFill="1"/>
    <xf numFmtId="0" fontId="5" fillId="2" borderId="2" xfId="0" applyFont="1" applyFill="1" applyBorder="1" applyAlignment="1">
      <alignment vertical="top" wrapText="1"/>
    </xf>
    <xf numFmtId="0" fontId="5" fillId="3" borderId="2" xfId="0" quotePrefix="1" applyFont="1" applyFill="1" applyBorder="1" applyAlignment="1">
      <alignment vertical="top" wrapText="1"/>
    </xf>
    <xf numFmtId="0" fontId="0" fillId="2" borderId="2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/>
    </xf>
    <xf numFmtId="0" fontId="7" fillId="5" borderId="1" xfId="0" applyFont="1" applyFill="1" applyBorder="1" applyAlignment="1">
      <alignment horizontal="left" vertical="top" wrapText="1"/>
    </xf>
    <xf numFmtId="49" fontId="6" fillId="5" borderId="1" xfId="0" applyNumberFormat="1" applyFont="1" applyFill="1" applyBorder="1" applyAlignment="1">
      <alignment horizontal="left" vertical="top" wrapText="1"/>
    </xf>
    <xf numFmtId="0" fontId="5" fillId="5" borderId="1" xfId="0" quotePrefix="1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7" fillId="5" borderId="2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2" xfId="0" quotePrefix="1" applyFont="1" applyFill="1" applyBorder="1" applyAlignment="1">
      <alignment vertical="top" wrapText="1"/>
    </xf>
    <xf numFmtId="0" fontId="0" fillId="5" borderId="2" xfId="0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0" fillId="8" borderId="0" xfId="0" applyFill="1"/>
    <xf numFmtId="0" fontId="1" fillId="8" borderId="0" xfId="0" applyFont="1" applyFill="1"/>
    <xf numFmtId="0" fontId="5" fillId="7" borderId="1" xfId="0" quotePrefix="1" applyFont="1" applyFill="1" applyBorder="1" applyAlignment="1">
      <alignment vertical="top" wrapText="1"/>
    </xf>
    <xf numFmtId="49" fontId="6" fillId="7" borderId="1" xfId="0" applyNumberFormat="1" applyFont="1" applyFill="1" applyBorder="1" applyAlignment="1">
      <alignment horizontal="left" vertical="top" wrapText="1"/>
    </xf>
    <xf numFmtId="0" fontId="5" fillId="7" borderId="2" xfId="0" quotePrefix="1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5" fillId="2" borderId="3" xfId="0" applyFont="1" applyFill="1" applyBorder="1" applyAlignment="1">
      <alignment vertical="top" wrapText="1"/>
    </xf>
    <xf numFmtId="0" fontId="5" fillId="3" borderId="4" xfId="0" quotePrefix="1" applyFont="1" applyFill="1" applyBorder="1" applyAlignment="1">
      <alignment vertical="top" wrapText="1"/>
    </xf>
    <xf numFmtId="0" fontId="0" fillId="7" borderId="1" xfId="0" applyFill="1" applyBorder="1" applyAlignment="1">
      <alignment horizontal="center" vertical="top" wrapText="1"/>
    </xf>
    <xf numFmtId="0" fontId="0" fillId="7" borderId="1" xfId="0" applyFill="1" applyBorder="1"/>
    <xf numFmtId="0" fontId="0" fillId="6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5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0" xfId="0" applyFill="1"/>
    <xf numFmtId="0" fontId="8" fillId="9" borderId="1" xfId="0" applyFont="1" applyFill="1" applyBorder="1" applyAlignment="1">
      <alignment vertical="top" wrapText="1"/>
    </xf>
    <xf numFmtId="0" fontId="0" fillId="9" borderId="2" xfId="0" applyFill="1" applyBorder="1" applyAlignment="1">
      <alignment horizontal="left" vertical="top" wrapText="1"/>
    </xf>
    <xf numFmtId="0" fontId="5" fillId="9" borderId="1" xfId="0" applyFont="1" applyFill="1" applyBorder="1" applyAlignment="1">
      <alignment vertical="top" wrapText="1"/>
    </xf>
    <xf numFmtId="0" fontId="0" fillId="9" borderId="1" xfId="0" applyFill="1" applyBorder="1"/>
    <xf numFmtId="0" fontId="0" fillId="0" borderId="0" xfId="0" applyAlignment="1">
      <alignment wrapText="1"/>
    </xf>
    <xf numFmtId="0" fontId="0" fillId="10" borderId="5" xfId="0" applyFill="1" applyBorder="1" applyAlignment="1">
      <alignment horizontal="center"/>
    </xf>
    <xf numFmtId="0" fontId="0" fillId="10" borderId="5" xfId="0" applyFill="1" applyBorder="1" applyAlignment="1">
      <alignment horizontal="center" wrapText="1"/>
    </xf>
    <xf numFmtId="0" fontId="0" fillId="0" borderId="5" xfId="0" applyBorder="1"/>
    <xf numFmtId="0" fontId="0" fillId="11" borderId="0" xfId="0" applyFill="1"/>
    <xf numFmtId="0" fontId="0" fillId="3" borderId="5" xfId="0" applyFill="1" applyBorder="1"/>
    <xf numFmtId="0" fontId="0" fillId="10" borderId="6" xfId="0" applyFill="1" applyBorder="1"/>
    <xf numFmtId="0" fontId="0" fillId="11" borderId="6" xfId="0" applyFill="1" applyBorder="1"/>
    <xf numFmtId="0" fontId="1" fillId="10" borderId="8" xfId="0" applyFont="1" applyFill="1" applyBorder="1"/>
    <xf numFmtId="0" fontId="11" fillId="10" borderId="9" xfId="0" applyFont="1" applyFill="1" applyBorder="1"/>
    <xf numFmtId="0" fontId="1" fillId="8" borderId="10" xfId="0" applyFont="1" applyFill="1" applyBorder="1" applyAlignment="1">
      <alignment wrapText="1"/>
    </xf>
    <xf numFmtId="0" fontId="0" fillId="11" borderId="5" xfId="0" applyFill="1" applyBorder="1" applyAlignment="1">
      <alignment horizontal="center" wrapText="1"/>
    </xf>
    <xf numFmtId="0" fontId="0" fillId="11" borderId="5" xfId="0" applyFill="1" applyBorder="1" applyAlignment="1">
      <alignment horizontal="center"/>
    </xf>
    <xf numFmtId="0" fontId="1" fillId="11" borderId="11" xfId="0" applyFont="1" applyFill="1" applyBorder="1"/>
    <xf numFmtId="0" fontId="0" fillId="11" borderId="12" xfId="0" applyFill="1" applyBorder="1" applyAlignment="1">
      <alignment horizontal="center" wrapText="1"/>
    </xf>
    <xf numFmtId="0" fontId="1" fillId="11" borderId="14" xfId="0" applyFont="1" applyFill="1" applyBorder="1"/>
    <xf numFmtId="0" fontId="0" fillId="11" borderId="15" xfId="0" applyFill="1" applyBorder="1" applyAlignment="1">
      <alignment horizontal="center"/>
    </xf>
    <xf numFmtId="0" fontId="11" fillId="11" borderId="16" xfId="0" applyFont="1" applyFill="1" applyBorder="1"/>
    <xf numFmtId="0" fontId="0" fillId="11" borderId="17" xfId="0" applyFill="1" applyBorder="1"/>
    <xf numFmtId="0" fontId="0" fillId="11" borderId="18" xfId="0" applyFill="1" applyBorder="1"/>
    <xf numFmtId="0" fontId="0" fillId="12" borderId="0" xfId="0" applyFill="1"/>
    <xf numFmtId="2" fontId="0" fillId="0" borderId="0" xfId="0" applyNumberFormat="1"/>
    <xf numFmtId="0" fontId="0" fillId="11" borderId="7" xfId="0" applyFill="1" applyBorder="1"/>
    <xf numFmtId="0" fontId="0" fillId="3" borderId="8" xfId="0" applyFill="1" applyBorder="1"/>
    <xf numFmtId="0" fontId="0" fillId="0" borderId="1" xfId="0" applyBorder="1"/>
    <xf numFmtId="0" fontId="0" fillId="8" borderId="1" xfId="0" applyFill="1" applyBorder="1"/>
    <xf numFmtId="0" fontId="0" fillId="3" borderId="19" xfId="0" applyFill="1" applyBorder="1"/>
    <xf numFmtId="0" fontId="0" fillId="0" borderId="8" xfId="0" applyBorder="1"/>
    <xf numFmtId="0" fontId="0" fillId="3" borderId="6" xfId="0" applyFill="1" applyBorder="1"/>
    <xf numFmtId="0" fontId="0" fillId="0" borderId="20" xfId="0" applyBorder="1"/>
    <xf numFmtId="0" fontId="0" fillId="0" borderId="3" xfId="0" applyBorder="1"/>
    <xf numFmtId="0" fontId="0" fillId="0" borderId="21" xfId="0" applyBorder="1"/>
    <xf numFmtId="0" fontId="0" fillId="0" borderId="7" xfId="0" applyBorder="1"/>
    <xf numFmtId="0" fontId="0" fillId="11" borderId="22" xfId="0" applyFill="1" applyBorder="1"/>
    <xf numFmtId="0" fontId="0" fillId="11" borderId="9" xfId="0" applyFill="1" applyBorder="1"/>
    <xf numFmtId="2" fontId="0" fillId="0" borderId="1" xfId="0" applyNumberFormat="1" applyBorder="1"/>
    <xf numFmtId="2" fontId="0" fillId="10" borderId="6" xfId="0" applyNumberFormat="1" applyFill="1" applyBorder="1"/>
    <xf numFmtId="0" fontId="3" fillId="0" borderId="2" xfId="0" applyFont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0" fillId="8" borderId="2" xfId="0" applyFill="1" applyBorder="1"/>
    <xf numFmtId="0" fontId="0" fillId="3" borderId="9" xfId="0" applyFill="1" applyBorder="1"/>
    <xf numFmtId="0" fontId="0" fillId="0" borderId="6" xfId="0" applyBorder="1"/>
    <xf numFmtId="0" fontId="0" fillId="0" borderId="22" xfId="0" applyBorder="1"/>
    <xf numFmtId="0" fontId="0" fillId="0" borderId="9" xfId="0" applyBorder="1"/>
    <xf numFmtId="0" fontId="0" fillId="3" borderId="1" xfId="0" applyFill="1" applyBorder="1"/>
    <xf numFmtId="0" fontId="0" fillId="0" borderId="4" xfId="0" applyBorder="1"/>
    <xf numFmtId="0" fontId="0" fillId="10" borderId="5" xfId="0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11" borderId="12" xfId="0" applyFill="1" applyBorder="1" applyAlignment="1">
      <alignment horizontal="center" wrapText="1"/>
    </xf>
    <xf numFmtId="0" fontId="0" fillId="11" borderId="13" xfId="0" applyFill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1" fillId="8" borderId="1" xfId="0" applyFont="1" applyFill="1" applyBorder="1"/>
  </cellXfs>
  <cellStyles count="3">
    <cellStyle name="Hyperlink" xfId="2" xr:uid="{00000000-000B-0000-0000-000008000000}"/>
    <cellStyle name="Normal" xfId="0" builtinId="0"/>
    <cellStyle name="Normal 6" xfId="1" xr:uid="{B45200F1-DBE1-4113-A8D0-E41AA94919C9}"/>
  </cellStyles>
  <dxfs count="7">
    <dxf>
      <numFmt numFmtId="2" formatCode="0.00"/>
    </dxf>
    <dxf>
      <numFmt numFmtId="2" formatCode="0.00"/>
    </dxf>
    <dxf>
      <numFmt numFmtId="2" formatCode="0.00"/>
    </dxf>
    <dxf>
      <fill>
        <patternFill>
          <fgColor indexed="64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62327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ndseth, Marte" id="{9D608789-C2A8-4F16-8965-F2A4123EE5B1}" userId="S::dth@ssb.no::33ee4a43-24c8-4f9f-9fd6-8652c10de8a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E5269B-1A2D-428F-AD63-9189DCDD564D}" name="Table35" displayName="Table35" ref="B3:H70" totalsRowShown="0" headerRowDxfId="6" headerRowBorderDxfId="5">
  <autoFilter ref="B3:H70" xr:uid="{D8E5269B-1A2D-428F-AD63-9189DCDD564D}"/>
  <sortState xmlns:xlrd2="http://schemas.microsoft.com/office/spreadsheetml/2017/richdata2" ref="B4:H69">
    <sortCondition ref="B3:B69"/>
  </sortState>
  <tableColumns count="7">
    <tableColumn id="2" xr3:uid="{C3E73479-C114-4C8E-AB52-897975DFB606}" name="Industries in the National Accounts (A64)" dataDxfId="4"/>
    <tableColumn id="4" xr3:uid="{623BC657-C8D5-48F9-B5DE-7976908DF338}" name="Total" dataDxfId="3"/>
    <tableColumn id="5" xr3:uid="{A66ADE61-E4E5-4CB7-98D6-6E213B7C1520}" name="63979.28" dataDxfId="2"/>
    <tableColumn id="7" xr3:uid="{6730D038-7927-4D7E-B535-0C1F39663DB5}" name="165855.72" dataDxfId="1"/>
    <tableColumn id="11" xr3:uid="{7574DE4F-0E47-4FC6-8DA3-2BDFB7734C25}" name="1.656538777" dataDxfId="0"/>
    <tableColumn id="9" xr3:uid="{4320B984-2148-4E8F-ADA8-ED044AE6C5A0}" name="Column1"/>
    <tableColumn id="10" xr3:uid="{54A2DF00-3AF6-4D52-B348-84368BAC11BD}" name="Column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5-11-04T09:51:44.22" personId="{9D608789-C2A8-4F16-8965-F2A4123EE5B1}" id="{759C9F30-1F09-42AA-82BD-039643E56E13}">
    <text>What is the reference year of this service?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5-11-04T09:51:44.22" personId="{9D608789-C2A8-4F16-8965-F2A4123EE5B1}" id="{AECCEEDB-4C9A-4D7A-B319-049E9D9B1EF3}">
    <text>What is the reference year of this service?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dT="2025-11-04T09:51:44.22" personId="{9D608789-C2A8-4F16-8965-F2A4123EE5B1}" id="{8D11DBE3-3520-497B-806B-363E343DA4F6}">
    <text>What is the reference year of this service?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4" dT="2025-11-04T09:26:14.79" personId="{9D608789-C2A8-4F16-8965-F2A4123EE5B1}" id="{14A169A8-878F-4305-A0B7-EB17781654D8}">
    <text>Dette er totalen av tjenesten.</text>
  </threadedComment>
  <threadedComment ref="Y4" dT="2025-11-04T09:26:38.97" personId="{9D608789-C2A8-4F16-8965-F2A4123EE5B1}" id="{E387D55F-916C-4514-A070-066BAC237BA2}">
    <text>Dette er også totalen av tjenesten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13C7-9B3D-4305-99D2-5395E738845C}">
  <dimension ref="A1:L69"/>
  <sheetViews>
    <sheetView tabSelected="1" workbookViewId="0">
      <selection activeCell="G4" sqref="G4"/>
    </sheetView>
  </sheetViews>
  <sheetFormatPr baseColWidth="10" defaultColWidth="11.42578125" defaultRowHeight="15" x14ac:dyDescent="0.25"/>
  <cols>
    <col min="1" max="1" width="5.5703125" customWidth="1"/>
    <col min="2" max="2" width="60.5703125" style="58" bestFit="1" customWidth="1"/>
    <col min="3" max="3" width="18.28515625" bestFit="1" customWidth="1"/>
    <col min="4" max="4" width="14.140625" customWidth="1"/>
    <col min="6" max="6" width="16.7109375" customWidth="1"/>
    <col min="7" max="7" width="12.5703125" bestFit="1" customWidth="1"/>
    <col min="8" max="8" width="12.5703125" customWidth="1"/>
    <col min="9" max="9" width="22" customWidth="1"/>
    <col min="10" max="10" width="20.5703125" customWidth="1"/>
    <col min="11" max="11" width="18.85546875" customWidth="1"/>
    <col min="12" max="12" width="21" customWidth="1"/>
  </cols>
  <sheetData>
    <row r="1" spans="1:12" ht="23.25" customHeight="1" x14ac:dyDescent="0.25">
      <c r="B1" s="110"/>
      <c r="C1" s="66" t="s">
        <v>1</v>
      </c>
      <c r="D1" s="59" t="s">
        <v>2</v>
      </c>
      <c r="E1" s="60" t="s">
        <v>3</v>
      </c>
      <c r="F1" s="60" t="s">
        <v>4</v>
      </c>
      <c r="G1" s="60" t="s">
        <v>5</v>
      </c>
      <c r="H1" s="60" t="s">
        <v>8</v>
      </c>
      <c r="I1" s="60" t="s">
        <v>6</v>
      </c>
      <c r="J1" s="60" t="s">
        <v>7</v>
      </c>
      <c r="K1" s="104" t="s">
        <v>9</v>
      </c>
      <c r="L1" s="104"/>
    </row>
    <row r="2" spans="1:12" x14ac:dyDescent="0.25">
      <c r="B2" s="110"/>
      <c r="C2" s="66" t="s">
        <v>10</v>
      </c>
      <c r="D2" s="59" t="s">
        <v>11</v>
      </c>
      <c r="E2" s="59" t="s">
        <v>11</v>
      </c>
      <c r="F2" s="59" t="s">
        <v>12</v>
      </c>
      <c r="G2" s="59" t="s">
        <v>13</v>
      </c>
      <c r="H2" s="59" t="s">
        <v>16</v>
      </c>
      <c r="I2" s="59" t="s">
        <v>14</v>
      </c>
      <c r="J2" s="59" t="s">
        <v>15</v>
      </c>
      <c r="K2" s="60" t="s">
        <v>17</v>
      </c>
      <c r="L2" s="59" t="s">
        <v>18</v>
      </c>
    </row>
    <row r="3" spans="1:12" x14ac:dyDescent="0.25">
      <c r="B3" s="110"/>
      <c r="C3" s="67" t="s">
        <v>19</v>
      </c>
      <c r="D3" s="64">
        <f>'USE ES to Industries '!$E$4</f>
        <v>7144</v>
      </c>
      <c r="E3" s="64">
        <f>'USE ES to Industries '!$Y$4</f>
        <v>32.764000000000003</v>
      </c>
      <c r="F3" s="64">
        <f>'USE ES to Industries '!$AS$4</f>
        <v>21590</v>
      </c>
      <c r="G3" s="64">
        <f>'USE ES to Industries '!$AV$4</f>
        <v>63979.28</v>
      </c>
      <c r="H3" s="64">
        <v>165855.72</v>
      </c>
      <c r="I3" s="94">
        <f>'USE ES to Industries '!$BD$4</f>
        <v>1.6565387770435098</v>
      </c>
      <c r="J3" s="64">
        <f>'USE ES to Industries '!$BF$4</f>
        <v>14863657</v>
      </c>
      <c r="K3" s="64"/>
      <c r="L3" s="64"/>
    </row>
    <row r="4" spans="1:12" x14ac:dyDescent="0.25">
      <c r="A4" s="80">
        <v>1</v>
      </c>
      <c r="B4" s="83" t="s">
        <v>39</v>
      </c>
      <c r="C4" s="84"/>
      <c r="D4" s="82"/>
      <c r="E4" s="82"/>
      <c r="F4" s="88"/>
      <c r="G4" s="93">
        <v>756.19515296942802</v>
      </c>
      <c r="H4" s="93">
        <v>1567.737958295</v>
      </c>
      <c r="I4" s="93">
        <v>1.5670231112984202E-2</v>
      </c>
      <c r="J4" s="92">
        <f>'USE ES to Industries '!$BF$4</f>
        <v>14863657</v>
      </c>
      <c r="K4" s="61"/>
      <c r="L4" s="61"/>
    </row>
    <row r="5" spans="1:12" x14ac:dyDescent="0.25">
      <c r="A5" s="80">
        <v>2</v>
      </c>
      <c r="B5" s="83" t="s">
        <v>240</v>
      </c>
      <c r="C5" s="81"/>
      <c r="D5" s="87"/>
      <c r="E5" s="87"/>
      <c r="F5" s="89"/>
      <c r="G5" s="93">
        <v>0</v>
      </c>
      <c r="H5" s="93">
        <v>1071.1565915301401</v>
      </c>
      <c r="I5" s="93">
        <v>1.07066817248774E-2</v>
      </c>
      <c r="J5" s="85"/>
      <c r="K5" s="61"/>
      <c r="L5" s="61"/>
    </row>
    <row r="6" spans="1:12" x14ac:dyDescent="0.25">
      <c r="A6" s="80">
        <v>3</v>
      </c>
      <c r="B6" s="83" t="s">
        <v>260</v>
      </c>
      <c r="C6" s="81"/>
      <c r="D6" s="61"/>
      <c r="E6" s="61"/>
      <c r="F6" s="90"/>
      <c r="G6" s="93">
        <v>0</v>
      </c>
      <c r="H6" s="93">
        <v>12.036847376442401</v>
      </c>
      <c r="I6" s="93">
        <v>1.20313588927644E-4</v>
      </c>
      <c r="J6" s="85"/>
      <c r="K6" s="61"/>
      <c r="L6" s="61"/>
    </row>
    <row r="7" spans="1:12" x14ac:dyDescent="0.25">
      <c r="A7" s="80">
        <v>4</v>
      </c>
      <c r="B7" s="83" t="s">
        <v>256</v>
      </c>
      <c r="C7" s="81"/>
      <c r="D7" s="61"/>
      <c r="E7" s="61"/>
      <c r="F7" s="90"/>
      <c r="G7" s="93">
        <v>389.11702951294302</v>
      </c>
      <c r="H7" s="93">
        <v>806.71442416809896</v>
      </c>
      <c r="I7" s="93">
        <v>8.0634658375180607E-3</v>
      </c>
      <c r="J7" s="85"/>
      <c r="K7" s="61"/>
      <c r="L7" s="61"/>
    </row>
    <row r="8" spans="1:12" x14ac:dyDescent="0.25">
      <c r="A8" s="80">
        <v>5</v>
      </c>
      <c r="B8" s="83" t="s">
        <v>47</v>
      </c>
      <c r="C8" s="81"/>
      <c r="D8" s="61"/>
      <c r="E8" s="61"/>
      <c r="F8" s="90"/>
      <c r="G8" s="93">
        <v>0</v>
      </c>
      <c r="H8" s="93">
        <v>323.93039606262698</v>
      </c>
      <c r="I8" s="93">
        <v>3.2378269237942998E-3</v>
      </c>
      <c r="J8" s="85"/>
      <c r="K8" s="61"/>
      <c r="L8" s="61"/>
    </row>
    <row r="9" spans="1:12" x14ac:dyDescent="0.25">
      <c r="A9" s="80">
        <v>6</v>
      </c>
      <c r="B9" s="83" t="s">
        <v>229</v>
      </c>
      <c r="C9" s="81"/>
      <c r="D9" s="61"/>
      <c r="E9" s="61"/>
      <c r="F9" s="90"/>
      <c r="G9" s="93">
        <v>44.314789597393599</v>
      </c>
      <c r="H9" s="93">
        <v>91.873079975295099</v>
      </c>
      <c r="I9" s="93">
        <v>9.1831188283549199E-4</v>
      </c>
      <c r="J9" s="85"/>
      <c r="K9" s="61"/>
      <c r="L9" s="61"/>
    </row>
    <row r="10" spans="1:12" x14ac:dyDescent="0.25">
      <c r="A10" s="80">
        <v>7</v>
      </c>
      <c r="B10" s="83" t="s">
        <v>193</v>
      </c>
      <c r="C10" s="81"/>
      <c r="D10" s="61"/>
      <c r="E10" s="61"/>
      <c r="F10" s="90"/>
      <c r="G10" s="93">
        <v>572.85357247825004</v>
      </c>
      <c r="H10" s="93">
        <v>1187.63560780898</v>
      </c>
      <c r="I10" s="93">
        <v>1.18709407741942E-2</v>
      </c>
      <c r="J10" s="85"/>
      <c r="K10" s="61"/>
      <c r="L10" s="61"/>
    </row>
    <row r="11" spans="1:12" x14ac:dyDescent="0.25">
      <c r="A11" s="80">
        <v>8</v>
      </c>
      <c r="B11" s="83" t="s">
        <v>244</v>
      </c>
      <c r="C11" s="81"/>
      <c r="D11" s="61"/>
      <c r="E11" s="61"/>
      <c r="F11" s="90"/>
      <c r="G11" s="93">
        <v>0</v>
      </c>
      <c r="H11" s="93">
        <v>2840.1637392897501</v>
      </c>
      <c r="I11" s="93">
        <v>2.83886869982981E-2</v>
      </c>
      <c r="J11" s="85"/>
      <c r="K11" s="61"/>
      <c r="L11" s="61"/>
    </row>
    <row r="12" spans="1:12" x14ac:dyDescent="0.25">
      <c r="A12" s="80">
        <v>9</v>
      </c>
      <c r="B12" s="83" t="s">
        <v>210</v>
      </c>
      <c r="C12" s="81"/>
      <c r="D12" s="61"/>
      <c r="E12" s="61"/>
      <c r="F12" s="90"/>
      <c r="G12" s="93">
        <v>289.369256671394</v>
      </c>
      <c r="H12" s="93">
        <v>599.91811090819897</v>
      </c>
      <c r="I12" s="93">
        <v>5.9964456413495798E-3</v>
      </c>
      <c r="J12" s="85"/>
      <c r="K12" s="61"/>
      <c r="L12" s="61"/>
    </row>
    <row r="13" spans="1:12" x14ac:dyDescent="0.25">
      <c r="A13" s="80">
        <v>10</v>
      </c>
      <c r="B13" s="83" t="s">
        <v>236</v>
      </c>
      <c r="C13" s="81"/>
      <c r="D13" s="61"/>
      <c r="E13" s="61"/>
      <c r="F13" s="90"/>
      <c r="G13" s="93">
        <v>1756.39812245641</v>
      </c>
      <c r="H13" s="93">
        <v>3641.3510396625402</v>
      </c>
      <c r="I13" s="93">
        <v>3.6396906800083999E-2</v>
      </c>
      <c r="J13" s="85"/>
      <c r="K13" s="61"/>
      <c r="L13" s="61"/>
    </row>
    <row r="14" spans="1:12" x14ac:dyDescent="0.25">
      <c r="A14" s="80">
        <v>11</v>
      </c>
      <c r="B14" s="83" t="s">
        <v>36</v>
      </c>
      <c r="C14" s="81"/>
      <c r="D14" s="61"/>
      <c r="E14" s="61"/>
      <c r="F14" s="90"/>
      <c r="G14" s="93">
        <v>4407.6034781782</v>
      </c>
      <c r="H14" s="93">
        <v>9137.8095333182191</v>
      </c>
      <c r="I14" s="93">
        <v>9.1336429341326394E-2</v>
      </c>
      <c r="J14" s="85"/>
      <c r="K14" s="61"/>
      <c r="L14" s="61"/>
    </row>
    <row r="15" spans="1:12" x14ac:dyDescent="0.25">
      <c r="A15" s="80">
        <v>12</v>
      </c>
      <c r="B15" s="83" t="s">
        <v>253</v>
      </c>
      <c r="C15" s="81"/>
      <c r="F15" s="90"/>
      <c r="G15" s="93">
        <v>336.82399793812198</v>
      </c>
      <c r="H15" s="93">
        <v>698.30091446463098</v>
      </c>
      <c r="I15" s="93">
        <v>6.9798250773806404E-3</v>
      </c>
      <c r="J15" s="85"/>
      <c r="K15" s="61"/>
      <c r="L15" s="61"/>
    </row>
    <row r="16" spans="1:12" x14ac:dyDescent="0.25">
      <c r="A16" s="80">
        <v>13</v>
      </c>
      <c r="B16" s="83" t="s">
        <v>187</v>
      </c>
      <c r="C16" s="81"/>
      <c r="D16" s="65">
        <f>'USE ES to Industries '!$E$4</f>
        <v>7144</v>
      </c>
      <c r="E16" s="65">
        <f>'USE ES to Industries '!$Y$4</f>
        <v>32.764000000000003</v>
      </c>
      <c r="F16" s="90"/>
      <c r="G16" s="93">
        <v>294.74074631956302</v>
      </c>
      <c r="H16" s="93">
        <v>611.05424181429498</v>
      </c>
      <c r="I16" s="93">
        <v>6.1077561726023697E-3</v>
      </c>
      <c r="J16" s="85"/>
      <c r="K16" s="61"/>
      <c r="L16" s="61"/>
    </row>
    <row r="17" spans="1:12" x14ac:dyDescent="0.25">
      <c r="A17" s="80">
        <v>14</v>
      </c>
      <c r="B17" s="83" t="s">
        <v>50</v>
      </c>
      <c r="C17" s="81"/>
      <c r="D17" s="61"/>
      <c r="E17" s="61"/>
      <c r="F17" s="90"/>
      <c r="G17" s="93">
        <v>3651.9415245488399</v>
      </c>
      <c r="H17" s="93">
        <v>7571.1769997822703</v>
      </c>
      <c r="I17" s="93">
        <v>7.5677247435488496E-2</v>
      </c>
      <c r="J17" s="85"/>
      <c r="K17" s="61"/>
      <c r="L17" s="61"/>
    </row>
    <row r="18" spans="1:12" x14ac:dyDescent="0.25">
      <c r="A18" s="80">
        <v>15</v>
      </c>
      <c r="B18" s="83" t="s">
        <v>213</v>
      </c>
      <c r="C18" s="81"/>
      <c r="D18" s="61"/>
      <c r="E18" s="61"/>
      <c r="F18" s="90"/>
      <c r="G18" s="93">
        <v>2350.6784091562099</v>
      </c>
      <c r="H18" s="93">
        <v>4873.4083461226801</v>
      </c>
      <c r="I18" s="93">
        <v>4.8711862009606498E-2</v>
      </c>
      <c r="J18" s="85"/>
      <c r="K18" s="61"/>
      <c r="L18" s="61"/>
    </row>
    <row r="19" spans="1:12" x14ac:dyDescent="0.25">
      <c r="A19" s="80">
        <v>16</v>
      </c>
      <c r="B19" s="83" t="s">
        <v>248</v>
      </c>
      <c r="C19" s="81"/>
      <c r="D19" s="61"/>
      <c r="E19" s="61"/>
      <c r="F19" s="90"/>
      <c r="G19" s="93">
        <v>0</v>
      </c>
      <c r="H19" s="93">
        <v>1386.9395977019101</v>
      </c>
      <c r="I19" s="93">
        <v>1.38630718997037E-2</v>
      </c>
      <c r="J19" s="85"/>
      <c r="K19" s="61"/>
      <c r="L19" s="61"/>
    </row>
    <row r="20" spans="1:12" x14ac:dyDescent="0.25">
      <c r="A20" s="80">
        <v>17</v>
      </c>
      <c r="B20" s="83" t="s">
        <v>208</v>
      </c>
      <c r="C20" s="81"/>
      <c r="D20" s="61"/>
      <c r="E20" s="61"/>
      <c r="F20" s="90"/>
      <c r="G20" s="93">
        <v>445.99162578767198</v>
      </c>
      <c r="H20" s="93">
        <v>924.62639846794298</v>
      </c>
      <c r="I20" s="93">
        <v>9.2420479331358097E-3</v>
      </c>
      <c r="J20" s="85"/>
      <c r="K20" s="61"/>
      <c r="L20" s="61"/>
    </row>
    <row r="21" spans="1:12" x14ac:dyDescent="0.25">
      <c r="A21" s="80">
        <v>18</v>
      </c>
      <c r="B21" s="83" t="s">
        <v>238</v>
      </c>
      <c r="C21" s="81"/>
      <c r="D21" s="61"/>
      <c r="E21" s="61"/>
      <c r="G21" s="93">
        <v>0</v>
      </c>
      <c r="H21" s="93">
        <v>5296.1719039769096</v>
      </c>
      <c r="I21" s="93">
        <v>5.2937569898269303E-2</v>
      </c>
      <c r="J21" s="85"/>
      <c r="K21" s="61"/>
      <c r="L21" s="61"/>
    </row>
    <row r="22" spans="1:12" x14ac:dyDescent="0.25">
      <c r="A22" s="80">
        <v>19</v>
      </c>
      <c r="B22" s="83" t="s">
        <v>191</v>
      </c>
      <c r="C22" s="81"/>
      <c r="D22" s="61"/>
      <c r="E22" s="61"/>
      <c r="F22" s="90"/>
      <c r="G22" s="93">
        <v>304.89128190470598</v>
      </c>
      <c r="H22" s="93">
        <v>632.09825389419802</v>
      </c>
      <c r="I22" s="93">
        <v>6.3181003382785901E-3</v>
      </c>
      <c r="K22" s="61"/>
      <c r="L22" s="61"/>
    </row>
    <row r="23" spans="1:12" x14ac:dyDescent="0.25">
      <c r="A23" s="80">
        <v>20</v>
      </c>
      <c r="B23" s="83" t="s">
        <v>189</v>
      </c>
      <c r="C23" s="81"/>
      <c r="D23" s="61"/>
      <c r="E23" s="61"/>
      <c r="F23" s="91">
        <f>'USE ES to Industries '!$AS$4</f>
        <v>21590</v>
      </c>
      <c r="G23" s="93">
        <v>117.61982479593399</v>
      </c>
      <c r="H23" s="93">
        <v>243.84851351731601</v>
      </c>
      <c r="I23" s="93">
        <v>2.43737325052058E-3</v>
      </c>
      <c r="J23" s="85"/>
      <c r="K23" s="61"/>
      <c r="L23" s="61"/>
    </row>
    <row r="24" spans="1:12" x14ac:dyDescent="0.25">
      <c r="A24" s="80">
        <v>21</v>
      </c>
      <c r="B24" s="83" t="s">
        <v>51</v>
      </c>
      <c r="C24" s="81"/>
      <c r="D24" s="61"/>
      <c r="E24" s="61"/>
      <c r="F24" s="90"/>
      <c r="G24" s="93">
        <v>3705.8539022676</v>
      </c>
      <c r="H24" s="93">
        <v>7682.9477254206704</v>
      </c>
      <c r="I24" s="93">
        <v>7.6794445046959495E-2</v>
      </c>
      <c r="J24" s="85"/>
      <c r="K24" s="61"/>
      <c r="L24" s="61"/>
    </row>
    <row r="25" spans="1:12" x14ac:dyDescent="0.25">
      <c r="A25" s="80">
        <v>22</v>
      </c>
      <c r="B25" s="83" t="s">
        <v>227</v>
      </c>
      <c r="C25" s="81"/>
      <c r="D25" s="61"/>
      <c r="E25" s="61"/>
      <c r="F25" s="90"/>
      <c r="G25" s="93">
        <v>86.062323112941797</v>
      </c>
      <c r="H25" s="93">
        <v>178.42374444399999</v>
      </c>
      <c r="I25" s="93">
        <v>1.7834238794104599E-3</v>
      </c>
      <c r="J25" s="85"/>
      <c r="K25" s="61"/>
      <c r="L25" s="61"/>
    </row>
    <row r="26" spans="1:12" x14ac:dyDescent="0.25">
      <c r="A26" s="80">
        <v>23</v>
      </c>
      <c r="B26" s="83" t="s">
        <v>239</v>
      </c>
      <c r="C26" s="81"/>
      <c r="D26" s="61"/>
      <c r="E26" s="61"/>
      <c r="F26" s="90"/>
      <c r="G26" s="93">
        <v>0</v>
      </c>
      <c r="H26" s="93">
        <v>851.09518116151298</v>
      </c>
      <c r="I26" s="93">
        <v>8.5070710429519698E-3</v>
      </c>
      <c r="J26" s="85"/>
      <c r="K26" s="61"/>
      <c r="L26" s="61"/>
    </row>
    <row r="27" spans="1:12" x14ac:dyDescent="0.25">
      <c r="A27" s="80">
        <v>24</v>
      </c>
      <c r="B27" s="83" t="s">
        <v>221</v>
      </c>
      <c r="C27" s="81"/>
      <c r="D27" s="61"/>
      <c r="E27" s="61"/>
      <c r="F27" s="90"/>
      <c r="G27" s="93">
        <v>713.59845013450001</v>
      </c>
      <c r="H27" s="93">
        <v>1479.42680254335</v>
      </c>
      <c r="I27" s="93">
        <v>1.47875222309538E-2</v>
      </c>
      <c r="J27" s="85"/>
      <c r="K27" s="61"/>
      <c r="L27" s="61"/>
    </row>
    <row r="28" spans="1:12" x14ac:dyDescent="0.25">
      <c r="A28" s="80">
        <v>25</v>
      </c>
      <c r="B28" s="83" t="s">
        <v>242</v>
      </c>
      <c r="C28" s="81"/>
      <c r="D28" s="61"/>
      <c r="E28" s="61"/>
      <c r="F28" s="90"/>
      <c r="G28" s="93">
        <v>0</v>
      </c>
      <c r="H28" s="93">
        <v>2583.7461368453301</v>
      </c>
      <c r="I28" s="93">
        <v>2.58256801702238E-2</v>
      </c>
      <c r="J28" s="85"/>
      <c r="K28" s="61"/>
      <c r="L28" s="61"/>
    </row>
    <row r="29" spans="1:12" x14ac:dyDescent="0.25">
      <c r="A29" s="80">
        <v>26</v>
      </c>
      <c r="B29" s="83" t="s">
        <v>207</v>
      </c>
      <c r="C29" s="81"/>
      <c r="D29" s="61"/>
      <c r="E29" s="61"/>
      <c r="F29" s="90"/>
      <c r="G29" s="93">
        <v>274.103957046267</v>
      </c>
      <c r="H29" s="93">
        <v>568.27020947285905</v>
      </c>
      <c r="I29" s="93">
        <v>5.6801109330466299E-3</v>
      </c>
      <c r="J29" s="85"/>
      <c r="K29" s="61"/>
      <c r="L29" s="61"/>
    </row>
    <row r="30" spans="1:12" x14ac:dyDescent="0.25">
      <c r="A30" s="80">
        <v>27</v>
      </c>
      <c r="B30" s="83" t="s">
        <v>29</v>
      </c>
      <c r="C30" s="81"/>
      <c r="D30" s="61"/>
      <c r="E30" s="61"/>
      <c r="F30" s="90"/>
      <c r="G30" s="93">
        <v>264.62485766714502</v>
      </c>
      <c r="H30" s="93">
        <v>548.61821375621798</v>
      </c>
      <c r="I30" s="93">
        <v>5.4836805837770002E-3</v>
      </c>
      <c r="J30" s="85"/>
      <c r="K30" s="61"/>
      <c r="L30" s="61"/>
    </row>
    <row r="31" spans="1:12" x14ac:dyDescent="0.25">
      <c r="A31" s="80">
        <v>28</v>
      </c>
      <c r="B31" s="111" t="s">
        <v>30</v>
      </c>
      <c r="C31" s="81"/>
      <c r="D31" s="61"/>
      <c r="E31" s="61"/>
      <c r="F31" s="90"/>
      <c r="G31" s="93">
        <v>151.290375715522</v>
      </c>
      <c r="H31" s="93">
        <v>313.65403996913301</v>
      </c>
      <c r="I31" s="93">
        <v>3.1351102203220601E-3</v>
      </c>
      <c r="J31" s="85"/>
      <c r="K31" s="61"/>
      <c r="L31" s="61"/>
    </row>
    <row r="32" spans="1:12" x14ac:dyDescent="0.25">
      <c r="A32" s="80">
        <v>29</v>
      </c>
      <c r="B32" s="83" t="s">
        <v>23</v>
      </c>
      <c r="C32" s="81"/>
      <c r="D32" s="61"/>
      <c r="E32" s="61"/>
      <c r="F32" s="90"/>
      <c r="G32" s="93">
        <v>968.64546780399201</v>
      </c>
      <c r="H32" s="93">
        <v>2008.1883122942099</v>
      </c>
      <c r="I32" s="93">
        <v>2.0072726315989699E-2</v>
      </c>
      <c r="J32" s="85"/>
      <c r="K32" s="61"/>
      <c r="L32" s="61"/>
    </row>
    <row r="33" spans="1:12" x14ac:dyDescent="0.25">
      <c r="A33" s="80">
        <v>30</v>
      </c>
      <c r="B33" s="83" t="s">
        <v>33</v>
      </c>
      <c r="C33" s="81"/>
      <c r="D33" s="61"/>
      <c r="E33" s="61"/>
      <c r="F33" s="90"/>
      <c r="G33" s="93">
        <v>168.451495216474</v>
      </c>
      <c r="H33" s="93">
        <v>349.23234054780198</v>
      </c>
      <c r="I33" s="93">
        <v>3.4907309984789402E-3</v>
      </c>
      <c r="J33" s="85"/>
      <c r="K33" s="61"/>
      <c r="L33" s="61"/>
    </row>
    <row r="34" spans="1:12" x14ac:dyDescent="0.25">
      <c r="A34" s="80">
        <v>31</v>
      </c>
      <c r="B34" s="83" t="s">
        <v>31</v>
      </c>
      <c r="C34" s="81"/>
      <c r="D34" s="61"/>
      <c r="E34" s="61"/>
      <c r="F34" s="90"/>
      <c r="G34" s="93">
        <v>368.42099586852697</v>
      </c>
      <c r="H34" s="93">
        <v>763.80756685343397</v>
      </c>
      <c r="I34" s="93">
        <v>7.6345929082793796E-3</v>
      </c>
      <c r="J34" s="85"/>
      <c r="K34" s="61"/>
      <c r="L34" s="61"/>
    </row>
    <row r="35" spans="1:12" x14ac:dyDescent="0.25">
      <c r="A35" s="80">
        <v>32</v>
      </c>
      <c r="B35" s="83" t="s">
        <v>209</v>
      </c>
      <c r="C35" s="81"/>
      <c r="D35" s="61"/>
      <c r="E35" s="61"/>
      <c r="F35" s="90"/>
      <c r="G35" s="93">
        <v>63.983920809071002</v>
      </c>
      <c r="H35" s="93">
        <v>132.650971087324</v>
      </c>
      <c r="I35" s="93">
        <v>1.3259048575699601E-3</v>
      </c>
      <c r="J35" s="85"/>
      <c r="K35" s="61"/>
      <c r="L35" s="61"/>
    </row>
    <row r="36" spans="1:12" x14ac:dyDescent="0.25">
      <c r="A36" s="80">
        <v>33</v>
      </c>
      <c r="B36" s="83" t="s">
        <v>206</v>
      </c>
      <c r="C36" s="81"/>
      <c r="D36" s="61"/>
      <c r="E36" s="61"/>
      <c r="F36" s="90"/>
      <c r="G36" s="93">
        <v>219.91510559562099</v>
      </c>
      <c r="H36" s="93">
        <v>455.92630062606298</v>
      </c>
      <c r="I36" s="93">
        <v>4.5571841030552698E-3</v>
      </c>
      <c r="J36" s="85"/>
      <c r="K36" s="61"/>
      <c r="L36" s="61"/>
    </row>
    <row r="37" spans="1:12" x14ac:dyDescent="0.25">
      <c r="A37" s="80">
        <v>34</v>
      </c>
      <c r="B37" s="83" t="s">
        <v>202</v>
      </c>
      <c r="C37" s="81"/>
      <c r="D37" s="61"/>
      <c r="E37" s="61"/>
      <c r="F37" s="90"/>
      <c r="G37" s="93">
        <v>61.673390335410097</v>
      </c>
      <c r="H37" s="93">
        <v>127.860797131393</v>
      </c>
      <c r="I37" s="93">
        <v>1.27802495993549E-3</v>
      </c>
      <c r="J37" s="85"/>
      <c r="K37" s="61"/>
      <c r="L37" s="61"/>
    </row>
    <row r="38" spans="1:12" x14ac:dyDescent="0.25">
      <c r="A38" s="80">
        <v>35</v>
      </c>
      <c r="B38" s="111" t="s">
        <v>205</v>
      </c>
      <c r="C38" s="81"/>
      <c r="D38" s="61"/>
      <c r="E38" s="61"/>
      <c r="F38" s="90"/>
      <c r="G38" s="93">
        <v>97.733464223485299</v>
      </c>
      <c r="H38" s="93">
        <v>202.62026417011299</v>
      </c>
      <c r="I38" s="93">
        <v>2.0252787469486801E-3</v>
      </c>
      <c r="J38" s="85"/>
      <c r="K38" s="61"/>
      <c r="L38" s="61"/>
    </row>
    <row r="39" spans="1:12" x14ac:dyDescent="0.25">
      <c r="A39" s="80">
        <v>36</v>
      </c>
      <c r="B39" s="83" t="s">
        <v>24</v>
      </c>
      <c r="C39" s="81"/>
      <c r="D39" s="61"/>
      <c r="E39" s="61"/>
      <c r="F39" s="90"/>
      <c r="G39" s="93">
        <v>83.021112062140304</v>
      </c>
      <c r="H39" s="93">
        <v>172.11872915157701</v>
      </c>
      <c r="I39" s="93">
        <v>1.7204024756864501E-3</v>
      </c>
      <c r="J39" s="85"/>
      <c r="K39" s="61"/>
      <c r="L39" s="61"/>
    </row>
    <row r="40" spans="1:12" x14ac:dyDescent="0.25">
      <c r="A40" s="80">
        <v>37</v>
      </c>
      <c r="B40" s="83" t="s">
        <v>201</v>
      </c>
      <c r="C40" s="81"/>
      <c r="D40" s="61"/>
      <c r="E40" s="61"/>
      <c r="F40" s="90"/>
      <c r="G40" s="93">
        <v>281.78597716809702</v>
      </c>
      <c r="H40" s="93">
        <v>584.19651433488696</v>
      </c>
      <c r="I40" s="93">
        <v>5.8393013619338803E-3</v>
      </c>
      <c r="J40" s="85"/>
      <c r="K40" s="61"/>
      <c r="L40" s="61"/>
    </row>
    <row r="41" spans="1:12" x14ac:dyDescent="0.25">
      <c r="A41" s="80">
        <v>38</v>
      </c>
      <c r="B41" s="83" t="s">
        <v>22</v>
      </c>
      <c r="C41" s="81"/>
      <c r="D41" s="61"/>
      <c r="E41" s="61"/>
      <c r="F41" s="90"/>
      <c r="G41" s="93">
        <v>136.55827543047101</v>
      </c>
      <c r="H41" s="93">
        <v>283.11156329285399</v>
      </c>
      <c r="I41" s="93">
        <v>2.82982471916552E-3</v>
      </c>
      <c r="J41" s="85"/>
      <c r="K41" s="61"/>
      <c r="L41" s="61"/>
    </row>
    <row r="42" spans="1:12" x14ac:dyDescent="0.25">
      <c r="A42" s="80">
        <v>39</v>
      </c>
      <c r="B42" s="83" t="s">
        <v>234</v>
      </c>
      <c r="C42" s="81"/>
      <c r="D42" s="61"/>
      <c r="E42" s="61"/>
      <c r="F42" s="90"/>
      <c r="G42" s="93">
        <v>0</v>
      </c>
      <c r="H42" s="93">
        <v>330.15352803956301</v>
      </c>
      <c r="I42" s="93">
        <v>3.3000298677296801E-3</v>
      </c>
      <c r="J42" s="85"/>
      <c r="K42" s="61"/>
      <c r="L42" s="61"/>
    </row>
    <row r="43" spans="1:12" x14ac:dyDescent="0.25">
      <c r="A43" s="80">
        <v>40</v>
      </c>
      <c r="B43" s="83" t="s">
        <v>225</v>
      </c>
      <c r="C43" s="81"/>
      <c r="D43" s="61"/>
      <c r="E43" s="61"/>
      <c r="F43" s="90"/>
      <c r="G43" s="93">
        <v>499.52878915600297</v>
      </c>
      <c r="H43" s="93">
        <v>1035.61923260922</v>
      </c>
      <c r="I43" s="93">
        <v>1.0351470176614801E-2</v>
      </c>
      <c r="J43" s="85"/>
      <c r="K43" s="61"/>
      <c r="L43" s="61"/>
    </row>
    <row r="44" spans="1:12" x14ac:dyDescent="0.25">
      <c r="A44" s="80">
        <v>41</v>
      </c>
      <c r="B44" s="83" t="s">
        <v>196</v>
      </c>
      <c r="C44" s="81"/>
      <c r="D44" s="61"/>
      <c r="E44" s="61"/>
      <c r="F44" s="90"/>
      <c r="G44" s="93">
        <v>19373.4228072962</v>
      </c>
      <c r="H44" s="93">
        <v>40164.830728985697</v>
      </c>
      <c r="I44" s="93">
        <v>0.40146516629704598</v>
      </c>
      <c r="J44" s="85"/>
      <c r="K44" s="61"/>
      <c r="L44" s="61"/>
    </row>
    <row r="45" spans="1:12" x14ac:dyDescent="0.25">
      <c r="A45" s="80">
        <v>42</v>
      </c>
      <c r="B45" s="83" t="s">
        <v>259</v>
      </c>
      <c r="C45" s="81"/>
      <c r="D45" s="61"/>
      <c r="E45" s="61"/>
      <c r="F45" s="90"/>
      <c r="G45" s="93">
        <v>0</v>
      </c>
      <c r="H45" s="93">
        <v>585.42476406717697</v>
      </c>
      <c r="I45" s="93">
        <v>5.8515782587632396E-3</v>
      </c>
      <c r="J45" s="85"/>
      <c r="K45" s="61"/>
      <c r="L45" s="61"/>
    </row>
    <row r="46" spans="1:12" x14ac:dyDescent="0.25">
      <c r="A46" s="80">
        <v>43</v>
      </c>
      <c r="B46" s="83" t="s">
        <v>245</v>
      </c>
      <c r="C46" s="81"/>
      <c r="D46" s="61"/>
      <c r="E46" s="61"/>
      <c r="F46" s="90"/>
      <c r="G46" s="93">
        <v>251.35411853637501</v>
      </c>
      <c r="H46" s="93">
        <v>521.10541975292097</v>
      </c>
      <c r="I46" s="93">
        <v>5.2086780947995298E-3</v>
      </c>
      <c r="J46" s="85"/>
      <c r="K46" s="61"/>
      <c r="L46" s="61"/>
    </row>
    <row r="47" spans="1:12" x14ac:dyDescent="0.25">
      <c r="A47" s="80">
        <v>44</v>
      </c>
      <c r="B47" s="83" t="s">
        <v>231</v>
      </c>
      <c r="C47" s="81"/>
      <c r="D47" s="61"/>
      <c r="E47" s="61"/>
      <c r="F47" s="90"/>
      <c r="G47" s="93">
        <v>0</v>
      </c>
      <c r="H47" s="93">
        <v>402.74308721790402</v>
      </c>
      <c r="I47" s="93">
        <v>4.0255944703443498E-3</v>
      </c>
      <c r="J47" s="85"/>
      <c r="K47" s="61"/>
      <c r="L47" s="61"/>
    </row>
    <row r="48" spans="1:12" x14ac:dyDescent="0.25">
      <c r="A48" s="80">
        <v>45</v>
      </c>
      <c r="B48" s="83" t="s">
        <v>203</v>
      </c>
      <c r="C48" s="81"/>
      <c r="D48" s="61"/>
      <c r="E48" s="61"/>
      <c r="F48" s="90"/>
      <c r="G48" s="93">
        <v>0</v>
      </c>
      <c r="H48" s="93">
        <v>130.15352996500101</v>
      </c>
      <c r="I48" s="93">
        <v>0</v>
      </c>
      <c r="J48" s="85"/>
      <c r="K48" s="61"/>
      <c r="L48" s="61"/>
    </row>
    <row r="49" spans="1:12" x14ac:dyDescent="0.25">
      <c r="A49" s="80">
        <v>46</v>
      </c>
      <c r="B49" s="83" t="s">
        <v>49</v>
      </c>
      <c r="C49" s="81"/>
      <c r="D49" s="61"/>
      <c r="E49" s="61"/>
      <c r="F49" s="90"/>
      <c r="G49" s="93">
        <v>0</v>
      </c>
      <c r="H49" s="93">
        <v>9886.7552784109503</v>
      </c>
      <c r="I49" s="93">
        <v>9.8822471797970601E-2</v>
      </c>
      <c r="J49" s="85"/>
      <c r="K49" s="61"/>
      <c r="L49" s="61"/>
    </row>
    <row r="50" spans="1:12" x14ac:dyDescent="0.25">
      <c r="A50" s="80">
        <v>47</v>
      </c>
      <c r="B50" s="83" t="s">
        <v>233</v>
      </c>
      <c r="C50" s="81"/>
      <c r="D50" s="61"/>
      <c r="E50" s="61"/>
      <c r="F50" s="90"/>
      <c r="G50" s="93">
        <v>544.94947368096098</v>
      </c>
      <c r="H50" s="93">
        <v>1129.78504541812</v>
      </c>
      <c r="I50" s="93">
        <v>1.1292698933531801E-2</v>
      </c>
      <c r="J50" s="85"/>
      <c r="K50" s="61"/>
      <c r="L50" s="61"/>
    </row>
    <row r="51" spans="1:12" x14ac:dyDescent="0.25">
      <c r="A51" s="80">
        <v>48</v>
      </c>
      <c r="B51" s="83" t="s">
        <v>44</v>
      </c>
      <c r="C51" s="81"/>
      <c r="D51" s="61"/>
      <c r="E51" s="61"/>
      <c r="F51" s="90"/>
      <c r="G51" s="93">
        <v>7645.9797960654496</v>
      </c>
      <c r="H51" s="93">
        <v>15851.5863366465</v>
      </c>
      <c r="I51" s="93">
        <v>0.158443584330138</v>
      </c>
      <c r="J51" s="85"/>
      <c r="K51" s="61"/>
      <c r="L51" s="61"/>
    </row>
    <row r="52" spans="1:12" x14ac:dyDescent="0.25">
      <c r="A52" s="80">
        <v>49</v>
      </c>
      <c r="B52" s="83" t="s">
        <v>26</v>
      </c>
      <c r="C52" s="81"/>
      <c r="D52" s="61"/>
      <c r="E52" s="61"/>
      <c r="F52" s="90"/>
      <c r="G52" s="93">
        <v>704.37607636356302</v>
      </c>
      <c r="H52" s="93">
        <v>1460.3070483773699</v>
      </c>
      <c r="I52" s="93">
        <v>1.45964118703103E-2</v>
      </c>
      <c r="J52" s="85"/>
      <c r="K52" s="61"/>
      <c r="L52" s="61"/>
    </row>
    <row r="53" spans="1:12" x14ac:dyDescent="0.25">
      <c r="A53" s="80">
        <v>50</v>
      </c>
      <c r="B53" s="83" t="s">
        <v>247</v>
      </c>
      <c r="C53" s="81"/>
      <c r="D53" s="61"/>
      <c r="E53" s="61"/>
      <c r="F53" s="90"/>
      <c r="G53" s="93">
        <v>0</v>
      </c>
      <c r="H53" s="93">
        <v>1035.2098160317901</v>
      </c>
      <c r="I53" s="93">
        <v>1.0347377877671701E-2</v>
      </c>
      <c r="J53" s="85"/>
      <c r="K53" s="61"/>
      <c r="L53" s="61"/>
    </row>
    <row r="54" spans="1:12" x14ac:dyDescent="0.25">
      <c r="A54" s="80">
        <v>51</v>
      </c>
      <c r="B54" s="83" t="s">
        <v>212</v>
      </c>
      <c r="C54" s="81"/>
      <c r="D54" s="61"/>
      <c r="E54" s="61"/>
      <c r="F54" s="90"/>
      <c r="G54" s="93">
        <v>372.50885747577303</v>
      </c>
      <c r="H54" s="93">
        <v>772.28249000623498</v>
      </c>
      <c r="I54" s="93">
        <v>7.7193034964019103E-3</v>
      </c>
      <c r="J54" s="85"/>
      <c r="K54" s="61"/>
      <c r="L54" s="61"/>
    </row>
    <row r="55" spans="1:12" x14ac:dyDescent="0.25">
      <c r="A55" s="80">
        <v>52</v>
      </c>
      <c r="B55" s="83" t="s">
        <v>258</v>
      </c>
      <c r="C55" s="81"/>
      <c r="D55" s="61"/>
      <c r="E55" s="61"/>
      <c r="F55" s="90"/>
      <c r="G55" s="93">
        <v>24.171703416760099</v>
      </c>
      <c r="H55" s="93">
        <v>50.112589077433697</v>
      </c>
      <c r="I55" s="93">
        <v>5.0089739063754102E-4</v>
      </c>
      <c r="J55" s="85"/>
      <c r="K55" s="61"/>
      <c r="L55" s="61"/>
    </row>
    <row r="56" spans="1:12" x14ac:dyDescent="0.25">
      <c r="A56" s="80">
        <v>53</v>
      </c>
      <c r="B56" s="83" t="s">
        <v>220</v>
      </c>
      <c r="C56" s="81"/>
      <c r="D56" s="61"/>
      <c r="E56" s="61"/>
      <c r="F56" s="90"/>
      <c r="G56" s="93">
        <v>2145.4954038456399</v>
      </c>
      <c r="H56" s="93">
        <v>4448.0245221729001</v>
      </c>
      <c r="I56" s="93">
        <v>4.4459963407707803E-2</v>
      </c>
      <c r="J56" s="85"/>
      <c r="K56" s="61"/>
      <c r="L56" s="61"/>
    </row>
    <row r="57" spans="1:12" x14ac:dyDescent="0.25">
      <c r="A57" s="80">
        <v>54</v>
      </c>
      <c r="B57" s="83" t="s">
        <v>46</v>
      </c>
      <c r="C57" s="81"/>
      <c r="D57" s="61"/>
      <c r="E57" s="61"/>
      <c r="F57" s="90"/>
      <c r="G57" s="93">
        <v>378.94674580409298</v>
      </c>
      <c r="H57" s="93">
        <v>785.62947043045403</v>
      </c>
      <c r="I57" s="93">
        <v>7.8527124419475302E-3</v>
      </c>
      <c r="J57" s="85"/>
      <c r="K57" s="61"/>
      <c r="L57" s="61"/>
    </row>
    <row r="58" spans="1:12" x14ac:dyDescent="0.25">
      <c r="A58" s="80">
        <v>55</v>
      </c>
      <c r="B58" s="83" t="s">
        <v>250</v>
      </c>
      <c r="C58" s="81"/>
      <c r="D58" s="61"/>
      <c r="E58" s="61"/>
      <c r="F58" s="90"/>
      <c r="G58" s="93">
        <v>775.23234422249698</v>
      </c>
      <c r="H58" s="93">
        <v>1607.2057163592599</v>
      </c>
      <c r="I58" s="93">
        <v>1.6064728731100701E-2</v>
      </c>
      <c r="J58" s="85"/>
      <c r="K58" s="61"/>
      <c r="L58" s="61"/>
    </row>
    <row r="59" spans="1:12" x14ac:dyDescent="0.25">
      <c r="A59" s="80">
        <v>56</v>
      </c>
      <c r="B59" s="83" t="s">
        <v>197</v>
      </c>
      <c r="C59" s="81"/>
      <c r="D59" s="61"/>
      <c r="E59" s="61"/>
      <c r="F59" s="90"/>
      <c r="G59" s="93">
        <v>932.15093519437301</v>
      </c>
      <c r="H59" s="93">
        <v>1932.5281287851501</v>
      </c>
      <c r="I59" s="93">
        <v>1.9316469471301601E-2</v>
      </c>
      <c r="J59" s="85"/>
      <c r="K59" s="61"/>
      <c r="L59" s="61"/>
    </row>
    <row r="60" spans="1:12" x14ac:dyDescent="0.25">
      <c r="A60" s="80">
        <v>57</v>
      </c>
      <c r="B60" s="83" t="s">
        <v>215</v>
      </c>
      <c r="C60" s="81"/>
      <c r="D60" s="61"/>
      <c r="E60" s="61"/>
      <c r="F60" s="90"/>
      <c r="G60" s="93">
        <v>411.31392055905201</v>
      </c>
      <c r="H60" s="93">
        <v>852.73284747123296</v>
      </c>
      <c r="I60" s="93">
        <v>8.5234402387244293E-3</v>
      </c>
      <c r="J60" s="85"/>
      <c r="K60" s="61"/>
      <c r="L60" s="61"/>
    </row>
    <row r="61" spans="1:12" x14ac:dyDescent="0.25">
      <c r="A61" s="80">
        <v>58</v>
      </c>
      <c r="B61" s="83" t="s">
        <v>52</v>
      </c>
      <c r="C61" s="81"/>
      <c r="D61" s="61"/>
      <c r="E61" s="61"/>
      <c r="F61" s="90"/>
      <c r="G61" s="93">
        <v>4134.9213860387999</v>
      </c>
      <c r="H61" s="93">
        <v>8572.4871232028599</v>
      </c>
      <c r="I61" s="93">
        <v>8.5685782960670198E-2</v>
      </c>
      <c r="J61" s="85"/>
      <c r="K61" s="61"/>
      <c r="L61" s="61"/>
    </row>
    <row r="62" spans="1:12" x14ac:dyDescent="0.25">
      <c r="A62" s="80">
        <v>59</v>
      </c>
      <c r="B62" s="83" t="s">
        <v>255</v>
      </c>
      <c r="C62" s="81"/>
      <c r="D62" s="61"/>
      <c r="E62" s="61"/>
      <c r="F62" s="90"/>
      <c r="G62" s="93">
        <v>227.22191136702801</v>
      </c>
      <c r="H62" s="93">
        <v>471.07471399097398</v>
      </c>
      <c r="I62" s="93">
        <v>4.70859916395061E-3</v>
      </c>
      <c r="J62" s="85"/>
      <c r="K62" s="61"/>
      <c r="L62" s="61"/>
    </row>
    <row r="63" spans="1:12" x14ac:dyDescent="0.25">
      <c r="A63" s="80">
        <v>60</v>
      </c>
      <c r="B63" s="83" t="s">
        <v>41</v>
      </c>
      <c r="C63" s="81"/>
      <c r="D63" s="61"/>
      <c r="E63" s="61"/>
      <c r="F63" s="90"/>
      <c r="G63" s="93">
        <v>0</v>
      </c>
      <c r="H63" s="93">
        <v>1504.3193304511001</v>
      </c>
      <c r="I63" s="93">
        <v>1.50363340066954E-2</v>
      </c>
      <c r="J63" s="85"/>
      <c r="K63" s="61"/>
      <c r="L63" s="61"/>
    </row>
    <row r="64" spans="1:12" x14ac:dyDescent="0.25">
      <c r="A64" s="80">
        <v>61</v>
      </c>
      <c r="B64" s="83" t="s">
        <v>223</v>
      </c>
      <c r="C64" s="81"/>
      <c r="D64" s="61"/>
      <c r="E64" s="61"/>
      <c r="F64" s="90"/>
      <c r="G64" s="93">
        <v>317.37209608721599</v>
      </c>
      <c r="H64" s="93">
        <v>657.97338158777495</v>
      </c>
      <c r="I64" s="93">
        <v>6.5767336314836002E-3</v>
      </c>
      <c r="J64" s="85"/>
      <c r="K64" s="61"/>
      <c r="L64" s="61"/>
    </row>
    <row r="65" spans="1:12" x14ac:dyDescent="0.25">
      <c r="A65" s="80">
        <v>62</v>
      </c>
      <c r="B65" s="83" t="s">
        <v>249</v>
      </c>
      <c r="C65" s="81"/>
      <c r="D65" s="61"/>
      <c r="E65" s="61"/>
      <c r="F65" s="90"/>
      <c r="G65" s="93">
        <v>23.9939703034016</v>
      </c>
      <c r="H65" s="93">
        <v>49.744114157746701</v>
      </c>
      <c r="I65" s="93">
        <v>4.9721432158873595E-4</v>
      </c>
      <c r="J65" s="85"/>
      <c r="K65" s="61"/>
      <c r="L65" s="61"/>
    </row>
    <row r="66" spans="1:12" x14ac:dyDescent="0.25">
      <c r="A66" s="80">
        <v>63</v>
      </c>
      <c r="B66" s="83" t="s">
        <v>230</v>
      </c>
      <c r="C66" s="81"/>
      <c r="D66" s="61"/>
      <c r="E66" s="61"/>
      <c r="F66" s="90"/>
      <c r="G66" s="93">
        <v>553.87562559629998</v>
      </c>
      <c r="H66" s="93">
        <v>1148.29067471796</v>
      </c>
      <c r="I66" s="93">
        <v>1.14776708457607E-2</v>
      </c>
      <c r="J66" s="85"/>
      <c r="K66" s="61"/>
      <c r="L66" s="61"/>
    </row>
    <row r="67" spans="1:12" x14ac:dyDescent="0.25">
      <c r="A67" s="80">
        <v>64</v>
      </c>
      <c r="B67" s="97" t="s">
        <v>214</v>
      </c>
      <c r="C67" s="98"/>
      <c r="D67" s="99"/>
      <c r="E67" s="99"/>
      <c r="F67" s="100"/>
      <c r="G67" s="93">
        <v>119.63413341399701</v>
      </c>
      <c r="H67" s="93">
        <v>248.02456260710201</v>
      </c>
      <c r="I67" s="93">
        <v>2.4791146997403799E-3</v>
      </c>
      <c r="J67" s="101"/>
      <c r="K67" s="99"/>
      <c r="L67" s="99"/>
    </row>
    <row r="68" spans="1:12" x14ac:dyDescent="0.25">
      <c r="A68" s="80">
        <v>65</v>
      </c>
      <c r="B68" s="83" t="s">
        <v>218</v>
      </c>
      <c r="C68" s="102"/>
      <c r="D68" s="82"/>
      <c r="E68" s="82"/>
      <c r="F68" s="88"/>
      <c r="G68" s="93">
        <v>1178.5680228041199</v>
      </c>
      <c r="H68" s="93">
        <v>2443.39813410232</v>
      </c>
      <c r="I68" s="93">
        <v>2.4422840092523199E-2</v>
      </c>
      <c r="J68" s="103"/>
      <c r="K68" s="82"/>
      <c r="L68" s="82"/>
    </row>
    <row r="69" spans="1:12" x14ac:dyDescent="0.25">
      <c r="A69" s="80">
        <v>66</v>
      </c>
      <c r="B69" s="83" t="s">
        <v>219</v>
      </c>
      <c r="C69" s="102"/>
      <c r="D69" s="82"/>
      <c r="E69" s="82"/>
      <c r="F69" s="88"/>
      <c r="G69" s="93">
        <v>0</v>
      </c>
      <c r="H69" s="93">
        <v>4974.3704741169204</v>
      </c>
      <c r="I69" s="93">
        <v>4.9721022928979203E-2</v>
      </c>
      <c r="J69" s="103"/>
      <c r="K69" s="82"/>
      <c r="L69" s="82"/>
    </row>
  </sheetData>
  <mergeCells count="1">
    <mergeCell ref="K1:L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3FE2-456D-496C-8B9C-D6BC1FB23F3B}">
  <dimension ref="A2:L72"/>
  <sheetViews>
    <sheetView workbookViewId="0">
      <selection activeCell="J13" sqref="J13"/>
    </sheetView>
  </sheetViews>
  <sheetFormatPr baseColWidth="10" defaultColWidth="11.42578125" defaultRowHeight="15" x14ac:dyDescent="0.25"/>
  <cols>
    <col min="1" max="1" width="5.5703125" customWidth="1"/>
    <col min="2" max="2" width="60.5703125" style="58" bestFit="1" customWidth="1"/>
    <col min="3" max="3" width="18.28515625" bestFit="1" customWidth="1"/>
    <col min="4" max="4" width="14.140625" customWidth="1"/>
    <col min="6" max="6" width="16.7109375" customWidth="1"/>
    <col min="7" max="7" width="12.5703125" bestFit="1" customWidth="1"/>
    <col min="8" max="8" width="12.5703125" customWidth="1"/>
    <col min="9" max="9" width="22" customWidth="1"/>
    <col min="10" max="10" width="20.5703125" customWidth="1"/>
    <col min="11" max="11" width="18.85546875" customWidth="1"/>
    <col min="12" max="12" width="21" customWidth="1"/>
  </cols>
  <sheetData>
    <row r="2" spans="1:12" ht="38.25" customHeight="1" x14ac:dyDescent="0.4">
      <c r="B2" s="106" t="s">
        <v>288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1:12" ht="23.25" customHeight="1" x14ac:dyDescent="0.25">
      <c r="B3" s="105" t="s">
        <v>0</v>
      </c>
      <c r="C3" s="66" t="s">
        <v>1</v>
      </c>
      <c r="D3" s="59" t="s">
        <v>2</v>
      </c>
      <c r="E3" s="60" t="s">
        <v>3</v>
      </c>
      <c r="F3" s="60" t="s">
        <v>4</v>
      </c>
      <c r="G3" s="60" t="s">
        <v>5</v>
      </c>
      <c r="H3" s="60" t="s">
        <v>8</v>
      </c>
      <c r="I3" s="60" t="s">
        <v>6</v>
      </c>
      <c r="J3" s="60" t="s">
        <v>7</v>
      </c>
      <c r="K3" s="104" t="s">
        <v>9</v>
      </c>
      <c r="L3" s="104"/>
    </row>
    <row r="4" spans="1:12" x14ac:dyDescent="0.25">
      <c r="B4" s="105"/>
      <c r="C4" s="66" t="s">
        <v>10</v>
      </c>
      <c r="D4" s="59" t="s">
        <v>11</v>
      </c>
      <c r="E4" s="59" t="s">
        <v>11</v>
      </c>
      <c r="F4" s="59" t="s">
        <v>12</v>
      </c>
      <c r="G4" s="59" t="s">
        <v>13</v>
      </c>
      <c r="H4" s="59" t="s">
        <v>16</v>
      </c>
      <c r="I4" s="59" t="s">
        <v>14</v>
      </c>
      <c r="J4" s="59" t="s">
        <v>15</v>
      </c>
      <c r="K4" s="60" t="s">
        <v>17</v>
      </c>
      <c r="L4" s="59" t="s">
        <v>18</v>
      </c>
    </row>
    <row r="5" spans="1:12" x14ac:dyDescent="0.25">
      <c r="B5" s="105"/>
      <c r="C5" s="67" t="s">
        <v>19</v>
      </c>
      <c r="D5" s="64">
        <f>'USE ES to Industries '!$E$4</f>
        <v>7144</v>
      </c>
      <c r="E5" s="64">
        <f>'USE ES to Industries '!$Y$4</f>
        <v>32.764000000000003</v>
      </c>
      <c r="F5" s="64">
        <f>'USE ES to Industries '!$AS$4</f>
        <v>21590</v>
      </c>
      <c r="G5" s="64">
        <f>'USE ES to Industries '!$AV$4</f>
        <v>63979.28</v>
      </c>
      <c r="H5" s="64">
        <v>165855.72</v>
      </c>
      <c r="I5" s="94">
        <f>'USE ES to Industries '!$BD$4</f>
        <v>1.6565387770435098</v>
      </c>
      <c r="J5" s="64">
        <f>'USE ES to Industries '!$BF$4</f>
        <v>14863657</v>
      </c>
      <c r="K5" s="64"/>
      <c r="L5" s="64"/>
    </row>
    <row r="6" spans="1:12" ht="30" x14ac:dyDescent="0.25">
      <c r="A6" s="62"/>
      <c r="B6" s="68" t="s">
        <v>185</v>
      </c>
      <c r="C6" s="63"/>
      <c r="D6" s="86"/>
      <c r="E6" s="86"/>
      <c r="F6" s="86"/>
      <c r="G6" s="86"/>
      <c r="H6" s="86"/>
      <c r="I6" s="86"/>
      <c r="J6" s="63"/>
      <c r="K6" s="63"/>
      <c r="L6" s="63"/>
    </row>
    <row r="7" spans="1:12" x14ac:dyDescent="0.25">
      <c r="A7" s="80">
        <v>1</v>
      </c>
      <c r="B7" s="83" t="s">
        <v>39</v>
      </c>
      <c r="C7" s="84"/>
      <c r="D7" s="82"/>
      <c r="E7" s="82"/>
      <c r="F7" s="88"/>
      <c r="G7" s="93">
        <v>756.19515296942802</v>
      </c>
      <c r="H7" s="93">
        <v>1567.737958295</v>
      </c>
      <c r="I7" s="93">
        <v>1.5670231112984202E-2</v>
      </c>
      <c r="J7" s="92">
        <f>'USE ES to Industries '!$BF$4</f>
        <v>14863657</v>
      </c>
      <c r="K7" s="61"/>
      <c r="L7" s="61"/>
    </row>
    <row r="8" spans="1:12" x14ac:dyDescent="0.25">
      <c r="A8" s="80">
        <v>2</v>
      </c>
      <c r="B8" s="83" t="s">
        <v>240</v>
      </c>
      <c r="C8" s="81"/>
      <c r="D8" s="87"/>
      <c r="E8" s="87"/>
      <c r="F8" s="89"/>
      <c r="G8" s="93">
        <v>0</v>
      </c>
      <c r="H8" s="93">
        <v>1071.1565915301401</v>
      </c>
      <c r="I8" s="93">
        <v>1.07066817248774E-2</v>
      </c>
      <c r="J8" s="85"/>
      <c r="K8" s="61"/>
      <c r="L8" s="61"/>
    </row>
    <row r="9" spans="1:12" x14ac:dyDescent="0.25">
      <c r="A9" s="80">
        <v>3</v>
      </c>
      <c r="B9" s="83" t="s">
        <v>260</v>
      </c>
      <c r="C9" s="81"/>
      <c r="D9" s="61"/>
      <c r="E9" s="61"/>
      <c r="F9" s="90"/>
      <c r="G9" s="93">
        <v>0</v>
      </c>
      <c r="H9" s="93">
        <v>12.036847376442401</v>
      </c>
      <c r="I9" s="93">
        <v>1.20313588927644E-4</v>
      </c>
      <c r="J9" s="85"/>
      <c r="K9" s="61"/>
      <c r="L9" s="61"/>
    </row>
    <row r="10" spans="1:12" x14ac:dyDescent="0.25">
      <c r="A10" s="80">
        <v>4</v>
      </c>
      <c r="B10" s="83" t="s">
        <v>256</v>
      </c>
      <c r="C10" s="81"/>
      <c r="D10" s="61"/>
      <c r="E10" s="61"/>
      <c r="F10" s="90"/>
      <c r="G10" s="93">
        <v>389.11702951294302</v>
      </c>
      <c r="H10" s="93">
        <v>806.71442416809896</v>
      </c>
      <c r="I10" s="93">
        <v>8.0634658375180607E-3</v>
      </c>
      <c r="J10" s="85"/>
      <c r="K10" s="61"/>
      <c r="L10" s="61"/>
    </row>
    <row r="11" spans="1:12" x14ac:dyDescent="0.25">
      <c r="A11" s="80">
        <v>5</v>
      </c>
      <c r="B11" s="83" t="s">
        <v>47</v>
      </c>
      <c r="C11" s="81"/>
      <c r="D11" s="61"/>
      <c r="E11" s="61"/>
      <c r="F11" s="90"/>
      <c r="G11" s="93">
        <v>0</v>
      </c>
      <c r="H11" s="93">
        <v>323.93039606262698</v>
      </c>
      <c r="I11" s="93">
        <v>3.2378269237942998E-3</v>
      </c>
      <c r="J11" s="85"/>
      <c r="K11" s="61"/>
      <c r="L11" s="61"/>
    </row>
    <row r="12" spans="1:12" x14ac:dyDescent="0.25">
      <c r="A12" s="80">
        <v>6</v>
      </c>
      <c r="B12" s="83" t="s">
        <v>229</v>
      </c>
      <c r="C12" s="81"/>
      <c r="D12" s="61"/>
      <c r="E12" s="61"/>
      <c r="F12" s="90"/>
      <c r="G12" s="93">
        <v>44.314789597393599</v>
      </c>
      <c r="H12" s="93">
        <v>91.873079975295099</v>
      </c>
      <c r="I12" s="93">
        <v>9.1831188283549199E-4</v>
      </c>
      <c r="J12" s="85"/>
      <c r="K12" s="61"/>
      <c r="L12" s="61"/>
    </row>
    <row r="13" spans="1:12" x14ac:dyDescent="0.25">
      <c r="A13" s="80">
        <v>7</v>
      </c>
      <c r="B13" s="83" t="s">
        <v>193</v>
      </c>
      <c r="C13" s="81"/>
      <c r="D13" s="61"/>
      <c r="E13" s="61"/>
      <c r="F13" s="90"/>
      <c r="G13" s="93">
        <v>572.85357247825004</v>
      </c>
      <c r="H13" s="93">
        <v>1187.63560780898</v>
      </c>
      <c r="I13" s="93">
        <v>1.18709407741942E-2</v>
      </c>
      <c r="J13" s="85"/>
      <c r="K13" s="61"/>
      <c r="L13" s="61"/>
    </row>
    <row r="14" spans="1:12" x14ac:dyDescent="0.25">
      <c r="A14" s="80">
        <v>8</v>
      </c>
      <c r="B14" s="83" t="s">
        <v>244</v>
      </c>
      <c r="C14" s="81"/>
      <c r="D14" s="61"/>
      <c r="E14" s="61"/>
      <c r="F14" s="90"/>
      <c r="G14" s="93">
        <v>0</v>
      </c>
      <c r="H14" s="93">
        <v>2840.1637392897501</v>
      </c>
      <c r="I14" s="93">
        <v>2.83886869982981E-2</v>
      </c>
      <c r="J14" s="85"/>
      <c r="K14" s="61"/>
      <c r="L14" s="61"/>
    </row>
    <row r="15" spans="1:12" x14ac:dyDescent="0.25">
      <c r="A15" s="80">
        <v>9</v>
      </c>
      <c r="B15" s="83" t="s">
        <v>210</v>
      </c>
      <c r="C15" s="81"/>
      <c r="D15" s="61"/>
      <c r="E15" s="61"/>
      <c r="F15" s="90"/>
      <c r="G15" s="93">
        <v>289.369256671394</v>
      </c>
      <c r="H15" s="93">
        <v>599.91811090819897</v>
      </c>
      <c r="I15" s="93">
        <v>5.9964456413495798E-3</v>
      </c>
      <c r="J15" s="85"/>
      <c r="K15" s="61"/>
      <c r="L15" s="61"/>
    </row>
    <row r="16" spans="1:12" x14ac:dyDescent="0.25">
      <c r="A16" s="80">
        <v>10</v>
      </c>
      <c r="B16" s="83" t="s">
        <v>236</v>
      </c>
      <c r="C16" s="81"/>
      <c r="D16" s="61"/>
      <c r="E16" s="61"/>
      <c r="F16" s="90"/>
      <c r="G16" s="93">
        <v>1756.39812245641</v>
      </c>
      <c r="H16" s="93">
        <v>3641.3510396625402</v>
      </c>
      <c r="I16" s="93">
        <v>3.6396906800083999E-2</v>
      </c>
      <c r="J16" s="85"/>
      <c r="K16" s="61"/>
      <c r="L16" s="61"/>
    </row>
    <row r="17" spans="1:12" x14ac:dyDescent="0.25">
      <c r="A17" s="80">
        <v>11</v>
      </c>
      <c r="B17" s="83" t="s">
        <v>36</v>
      </c>
      <c r="C17" s="81"/>
      <c r="D17" s="61"/>
      <c r="E17" s="61"/>
      <c r="F17" s="90"/>
      <c r="G17" s="93">
        <v>4407.6034781782</v>
      </c>
      <c r="H17" s="93">
        <v>9137.8095333182191</v>
      </c>
      <c r="I17" s="93">
        <v>9.1336429341326394E-2</v>
      </c>
      <c r="J17" s="85"/>
      <c r="K17" s="61"/>
      <c r="L17" s="61"/>
    </row>
    <row r="18" spans="1:12" x14ac:dyDescent="0.25">
      <c r="A18" s="80">
        <v>12</v>
      </c>
      <c r="B18" s="83" t="s">
        <v>253</v>
      </c>
      <c r="C18" s="81"/>
      <c r="F18" s="90"/>
      <c r="G18" s="93">
        <v>336.82399793812198</v>
      </c>
      <c r="H18" s="93">
        <v>698.30091446463098</v>
      </c>
      <c r="I18" s="93">
        <v>6.9798250773806404E-3</v>
      </c>
      <c r="J18" s="85"/>
      <c r="K18" s="61"/>
      <c r="L18" s="61"/>
    </row>
    <row r="19" spans="1:12" x14ac:dyDescent="0.25">
      <c r="A19" s="80">
        <v>13</v>
      </c>
      <c r="B19" s="83" t="s">
        <v>187</v>
      </c>
      <c r="C19" s="81"/>
      <c r="D19" s="65">
        <f>'USE ES to Industries '!$E$4</f>
        <v>7144</v>
      </c>
      <c r="E19" s="65">
        <f>'USE ES to Industries '!$Y$4</f>
        <v>32.764000000000003</v>
      </c>
      <c r="F19" s="90"/>
      <c r="G19" s="93">
        <v>294.74074631956302</v>
      </c>
      <c r="H19" s="93">
        <v>611.05424181429498</v>
      </c>
      <c r="I19" s="93">
        <v>6.1077561726023697E-3</v>
      </c>
      <c r="J19" s="85"/>
      <c r="K19" s="61"/>
      <c r="L19" s="61"/>
    </row>
    <row r="20" spans="1:12" x14ac:dyDescent="0.25">
      <c r="A20" s="80">
        <v>14</v>
      </c>
      <c r="B20" s="83" t="s">
        <v>50</v>
      </c>
      <c r="C20" s="81"/>
      <c r="D20" s="61"/>
      <c r="E20" s="61"/>
      <c r="F20" s="90"/>
      <c r="G20" s="93">
        <v>3651.9415245488399</v>
      </c>
      <c r="H20" s="93">
        <v>7571.1769997822703</v>
      </c>
      <c r="I20" s="93">
        <v>7.5677247435488496E-2</v>
      </c>
      <c r="J20" s="85"/>
      <c r="K20" s="61"/>
      <c r="L20" s="61"/>
    </row>
    <row r="21" spans="1:12" x14ac:dyDescent="0.25">
      <c r="A21" s="80">
        <v>15</v>
      </c>
      <c r="B21" s="83" t="s">
        <v>213</v>
      </c>
      <c r="C21" s="81"/>
      <c r="D21" s="61"/>
      <c r="E21" s="61"/>
      <c r="F21" s="90"/>
      <c r="G21" s="93">
        <v>2350.6784091562099</v>
      </c>
      <c r="H21" s="93">
        <v>4873.4083461226801</v>
      </c>
      <c r="I21" s="93">
        <v>4.8711862009606498E-2</v>
      </c>
      <c r="J21" s="85"/>
      <c r="K21" s="61"/>
      <c r="L21" s="61"/>
    </row>
    <row r="22" spans="1:12" x14ac:dyDescent="0.25">
      <c r="A22" s="80">
        <v>16</v>
      </c>
      <c r="B22" s="83" t="s">
        <v>248</v>
      </c>
      <c r="C22" s="81"/>
      <c r="D22" s="61"/>
      <c r="E22" s="61"/>
      <c r="F22" s="90"/>
      <c r="G22" s="93">
        <v>0</v>
      </c>
      <c r="H22" s="93">
        <v>1386.9395977019101</v>
      </c>
      <c r="I22" s="93">
        <v>1.38630718997037E-2</v>
      </c>
      <c r="J22" s="85"/>
      <c r="K22" s="61"/>
      <c r="L22" s="61"/>
    </row>
    <row r="23" spans="1:12" x14ac:dyDescent="0.25">
      <c r="A23" s="80">
        <v>17</v>
      </c>
      <c r="B23" s="83" t="s">
        <v>208</v>
      </c>
      <c r="C23" s="81"/>
      <c r="D23" s="61"/>
      <c r="E23" s="61"/>
      <c r="F23" s="90"/>
      <c r="G23" s="93">
        <v>445.99162578767198</v>
      </c>
      <c r="H23" s="93">
        <v>924.62639846794298</v>
      </c>
      <c r="I23" s="93">
        <v>9.2420479331358097E-3</v>
      </c>
      <c r="J23" s="85"/>
      <c r="K23" s="61"/>
      <c r="L23" s="61"/>
    </row>
    <row r="24" spans="1:12" x14ac:dyDescent="0.25">
      <c r="A24" s="80">
        <v>18</v>
      </c>
      <c r="B24" s="83" t="s">
        <v>238</v>
      </c>
      <c r="C24" s="81"/>
      <c r="D24" s="61"/>
      <c r="E24" s="61"/>
      <c r="G24" s="93">
        <v>0</v>
      </c>
      <c r="H24" s="93">
        <v>5296.1719039769096</v>
      </c>
      <c r="I24" s="93">
        <v>5.2937569898269303E-2</v>
      </c>
      <c r="J24" s="85"/>
      <c r="K24" s="61"/>
      <c r="L24" s="61"/>
    </row>
    <row r="25" spans="1:12" x14ac:dyDescent="0.25">
      <c r="A25" s="80">
        <v>19</v>
      </c>
      <c r="B25" s="83" t="s">
        <v>191</v>
      </c>
      <c r="C25" s="81"/>
      <c r="D25" s="61"/>
      <c r="E25" s="61"/>
      <c r="F25" s="90"/>
      <c r="G25" s="93">
        <v>304.89128190470598</v>
      </c>
      <c r="H25" s="93">
        <v>632.09825389419802</v>
      </c>
      <c r="I25" s="93">
        <v>6.3181003382785901E-3</v>
      </c>
      <c r="K25" s="61"/>
      <c r="L25" s="61"/>
    </row>
    <row r="26" spans="1:12" x14ac:dyDescent="0.25">
      <c r="A26" s="80">
        <v>20</v>
      </c>
      <c r="B26" s="83" t="s">
        <v>189</v>
      </c>
      <c r="C26" s="81"/>
      <c r="D26" s="61"/>
      <c r="E26" s="61"/>
      <c r="F26" s="91">
        <f>'USE ES to Industries '!$AS$4</f>
        <v>21590</v>
      </c>
      <c r="G26" s="93">
        <v>117.61982479593399</v>
      </c>
      <c r="H26" s="93">
        <v>243.84851351731601</v>
      </c>
      <c r="I26" s="93">
        <v>2.43737325052058E-3</v>
      </c>
      <c r="J26" s="85"/>
      <c r="K26" s="61"/>
      <c r="L26" s="61"/>
    </row>
    <row r="27" spans="1:12" x14ac:dyDescent="0.25">
      <c r="A27" s="80">
        <v>21</v>
      </c>
      <c r="B27" s="83" t="s">
        <v>51</v>
      </c>
      <c r="C27" s="81"/>
      <c r="D27" s="61"/>
      <c r="E27" s="61"/>
      <c r="F27" s="90"/>
      <c r="G27" s="93">
        <v>3705.8539022676</v>
      </c>
      <c r="H27" s="93">
        <v>7682.9477254206704</v>
      </c>
      <c r="I27" s="93">
        <v>7.6794445046959495E-2</v>
      </c>
      <c r="J27" s="85"/>
      <c r="K27" s="61"/>
      <c r="L27" s="61"/>
    </row>
    <row r="28" spans="1:12" x14ac:dyDescent="0.25">
      <c r="A28" s="80">
        <v>22</v>
      </c>
      <c r="B28" s="83" t="s">
        <v>227</v>
      </c>
      <c r="C28" s="81"/>
      <c r="D28" s="61"/>
      <c r="E28" s="61"/>
      <c r="F28" s="90"/>
      <c r="G28" s="93">
        <v>86.062323112941797</v>
      </c>
      <c r="H28" s="93">
        <v>178.42374444399999</v>
      </c>
      <c r="I28" s="93">
        <v>1.7834238794104599E-3</v>
      </c>
      <c r="J28" s="85"/>
      <c r="K28" s="61"/>
      <c r="L28" s="61"/>
    </row>
    <row r="29" spans="1:12" x14ac:dyDescent="0.25">
      <c r="A29" s="80">
        <v>23</v>
      </c>
      <c r="B29" s="83" t="s">
        <v>239</v>
      </c>
      <c r="C29" s="81"/>
      <c r="D29" s="61"/>
      <c r="E29" s="61"/>
      <c r="F29" s="90"/>
      <c r="G29" s="93">
        <v>0</v>
      </c>
      <c r="H29" s="93">
        <v>851.09518116151298</v>
      </c>
      <c r="I29" s="93">
        <v>8.5070710429519698E-3</v>
      </c>
      <c r="J29" s="85"/>
      <c r="K29" s="61"/>
      <c r="L29" s="61"/>
    </row>
    <row r="30" spans="1:12" x14ac:dyDescent="0.25">
      <c r="A30" s="80">
        <v>24</v>
      </c>
      <c r="B30" s="83" t="s">
        <v>221</v>
      </c>
      <c r="C30" s="81"/>
      <c r="D30" s="61"/>
      <c r="E30" s="61"/>
      <c r="F30" s="90"/>
      <c r="G30" s="93">
        <v>713.59845013450001</v>
      </c>
      <c r="H30" s="93">
        <v>1479.42680254335</v>
      </c>
      <c r="I30" s="93">
        <v>1.47875222309538E-2</v>
      </c>
      <c r="J30" s="85"/>
      <c r="K30" s="61"/>
      <c r="L30" s="61"/>
    </row>
    <row r="31" spans="1:12" x14ac:dyDescent="0.25">
      <c r="A31" s="80">
        <v>25</v>
      </c>
      <c r="B31" s="83" t="s">
        <v>242</v>
      </c>
      <c r="C31" s="81"/>
      <c r="D31" s="61"/>
      <c r="E31" s="61"/>
      <c r="F31" s="90"/>
      <c r="G31" s="93">
        <v>0</v>
      </c>
      <c r="H31" s="93">
        <v>2583.7461368453301</v>
      </c>
      <c r="I31" s="93">
        <v>2.58256801702238E-2</v>
      </c>
      <c r="J31" s="85"/>
      <c r="K31" s="61"/>
      <c r="L31" s="61"/>
    </row>
    <row r="32" spans="1:12" x14ac:dyDescent="0.25">
      <c r="A32" s="80">
        <v>26</v>
      </c>
      <c r="B32" s="83" t="s">
        <v>207</v>
      </c>
      <c r="C32" s="81"/>
      <c r="D32" s="61"/>
      <c r="E32" s="61"/>
      <c r="F32" s="90"/>
      <c r="G32" s="93">
        <v>274.103957046267</v>
      </c>
      <c r="H32" s="93">
        <v>568.27020947285905</v>
      </c>
      <c r="I32" s="93">
        <v>5.6801109330466299E-3</v>
      </c>
      <c r="J32" s="85"/>
      <c r="K32" s="61"/>
      <c r="L32" s="61"/>
    </row>
    <row r="33" spans="1:12" x14ac:dyDescent="0.25">
      <c r="A33" s="80">
        <v>27</v>
      </c>
      <c r="B33" s="83" t="s">
        <v>29</v>
      </c>
      <c r="C33" s="81"/>
      <c r="D33" s="61"/>
      <c r="E33" s="61"/>
      <c r="F33" s="90"/>
      <c r="G33" s="93">
        <v>264.62485766714502</v>
      </c>
      <c r="H33" s="93">
        <v>548.61821375621798</v>
      </c>
      <c r="I33" s="93">
        <v>5.4836805837770002E-3</v>
      </c>
      <c r="J33" s="85"/>
      <c r="K33" s="61"/>
      <c r="L33" s="61"/>
    </row>
    <row r="34" spans="1:12" x14ac:dyDescent="0.25">
      <c r="A34" s="80">
        <v>28</v>
      </c>
      <c r="B34" s="83" t="s">
        <v>30</v>
      </c>
      <c r="C34" s="81"/>
      <c r="D34" s="61"/>
      <c r="E34" s="61"/>
      <c r="F34" s="90"/>
      <c r="G34" s="93">
        <v>151.290375715522</v>
      </c>
      <c r="H34" s="93">
        <v>313.65403996913301</v>
      </c>
      <c r="I34" s="93">
        <v>3.1351102203220601E-3</v>
      </c>
      <c r="J34" s="85"/>
      <c r="K34" s="61"/>
      <c r="L34" s="61"/>
    </row>
    <row r="35" spans="1:12" x14ac:dyDescent="0.25">
      <c r="A35" s="80">
        <v>29</v>
      </c>
      <c r="B35" s="83" t="s">
        <v>23</v>
      </c>
      <c r="C35" s="81"/>
      <c r="D35" s="61"/>
      <c r="E35" s="61"/>
      <c r="F35" s="90"/>
      <c r="G35" s="93">
        <v>968.64546780399201</v>
      </c>
      <c r="H35" s="93">
        <v>2008.1883122942099</v>
      </c>
      <c r="I35" s="93">
        <v>2.0072726315989699E-2</v>
      </c>
      <c r="J35" s="85"/>
      <c r="K35" s="61"/>
      <c r="L35" s="61"/>
    </row>
    <row r="36" spans="1:12" x14ac:dyDescent="0.25">
      <c r="A36" s="80">
        <v>30</v>
      </c>
      <c r="B36" s="83" t="s">
        <v>33</v>
      </c>
      <c r="C36" s="81"/>
      <c r="D36" s="61"/>
      <c r="E36" s="61"/>
      <c r="F36" s="90"/>
      <c r="G36" s="93">
        <v>168.451495216474</v>
      </c>
      <c r="H36" s="93">
        <v>349.23234054780198</v>
      </c>
      <c r="I36" s="93">
        <v>3.4907309984789402E-3</v>
      </c>
      <c r="J36" s="85"/>
      <c r="K36" s="61"/>
      <c r="L36" s="61"/>
    </row>
    <row r="37" spans="1:12" x14ac:dyDescent="0.25">
      <c r="A37" s="80">
        <v>31</v>
      </c>
      <c r="B37" s="83" t="s">
        <v>31</v>
      </c>
      <c r="C37" s="81"/>
      <c r="D37" s="61"/>
      <c r="E37" s="61"/>
      <c r="F37" s="90"/>
      <c r="G37" s="93">
        <v>368.42099586852697</v>
      </c>
      <c r="H37" s="93">
        <v>763.80756685343397</v>
      </c>
      <c r="I37" s="93">
        <v>7.6345929082793796E-3</v>
      </c>
      <c r="J37" s="85"/>
      <c r="K37" s="61"/>
      <c r="L37" s="61"/>
    </row>
    <row r="38" spans="1:12" x14ac:dyDescent="0.25">
      <c r="A38" s="80">
        <v>32</v>
      </c>
      <c r="B38" s="83" t="s">
        <v>209</v>
      </c>
      <c r="C38" s="81"/>
      <c r="D38" s="61"/>
      <c r="E38" s="61"/>
      <c r="F38" s="90"/>
      <c r="G38" s="93">
        <v>63.983920809071002</v>
      </c>
      <c r="H38" s="93">
        <v>132.650971087324</v>
      </c>
      <c r="I38" s="93">
        <v>1.3259048575699601E-3</v>
      </c>
      <c r="J38" s="85"/>
      <c r="K38" s="61"/>
      <c r="L38" s="61"/>
    </row>
    <row r="39" spans="1:12" x14ac:dyDescent="0.25">
      <c r="A39" s="80">
        <v>33</v>
      </c>
      <c r="B39" s="83" t="s">
        <v>206</v>
      </c>
      <c r="C39" s="81"/>
      <c r="D39" s="61"/>
      <c r="E39" s="61"/>
      <c r="F39" s="90"/>
      <c r="G39" s="93">
        <v>219.91510559562099</v>
      </c>
      <c r="H39" s="93">
        <v>455.92630062606298</v>
      </c>
      <c r="I39" s="93">
        <v>4.5571841030552698E-3</v>
      </c>
      <c r="J39" s="85"/>
      <c r="K39" s="61"/>
      <c r="L39" s="61"/>
    </row>
    <row r="40" spans="1:12" x14ac:dyDescent="0.25">
      <c r="A40" s="80">
        <v>34</v>
      </c>
      <c r="B40" s="83" t="s">
        <v>202</v>
      </c>
      <c r="C40" s="81"/>
      <c r="D40" s="61"/>
      <c r="E40" s="61"/>
      <c r="F40" s="90"/>
      <c r="G40" s="93">
        <v>61.673390335410097</v>
      </c>
      <c r="H40" s="93">
        <v>127.860797131393</v>
      </c>
      <c r="I40" s="93">
        <v>1.27802495993549E-3</v>
      </c>
      <c r="J40" s="85"/>
      <c r="K40" s="61"/>
      <c r="L40" s="61"/>
    </row>
    <row r="41" spans="1:12" x14ac:dyDescent="0.25">
      <c r="A41" s="80">
        <v>35</v>
      </c>
      <c r="B41" s="83" t="s">
        <v>205</v>
      </c>
      <c r="C41" s="81"/>
      <c r="D41" s="61"/>
      <c r="E41" s="61"/>
      <c r="F41" s="90"/>
      <c r="G41" s="93">
        <v>97.733464223485299</v>
      </c>
      <c r="H41" s="93">
        <v>202.62026417011299</v>
      </c>
      <c r="I41" s="93">
        <v>2.0252787469486801E-3</v>
      </c>
      <c r="J41" s="85"/>
      <c r="K41" s="61"/>
      <c r="L41" s="61"/>
    </row>
    <row r="42" spans="1:12" x14ac:dyDescent="0.25">
      <c r="A42" s="80">
        <v>36</v>
      </c>
      <c r="B42" s="83" t="s">
        <v>24</v>
      </c>
      <c r="C42" s="81"/>
      <c r="D42" s="61"/>
      <c r="E42" s="61"/>
      <c r="F42" s="90"/>
      <c r="G42" s="93">
        <v>83.021112062140304</v>
      </c>
      <c r="H42" s="93">
        <v>172.11872915157701</v>
      </c>
      <c r="I42" s="93">
        <v>1.7204024756864501E-3</v>
      </c>
      <c r="J42" s="85"/>
      <c r="K42" s="61"/>
      <c r="L42" s="61"/>
    </row>
    <row r="43" spans="1:12" x14ac:dyDescent="0.25">
      <c r="A43" s="80">
        <v>37</v>
      </c>
      <c r="B43" s="83" t="s">
        <v>201</v>
      </c>
      <c r="C43" s="81"/>
      <c r="D43" s="61"/>
      <c r="E43" s="61"/>
      <c r="F43" s="90"/>
      <c r="G43" s="93">
        <v>281.78597716809702</v>
      </c>
      <c r="H43" s="93">
        <v>584.19651433488696</v>
      </c>
      <c r="I43" s="93">
        <v>5.8393013619338803E-3</v>
      </c>
      <c r="J43" s="85"/>
      <c r="K43" s="61"/>
      <c r="L43" s="61"/>
    </row>
    <row r="44" spans="1:12" x14ac:dyDescent="0.25">
      <c r="A44" s="80">
        <v>38</v>
      </c>
      <c r="B44" s="83" t="s">
        <v>22</v>
      </c>
      <c r="C44" s="81"/>
      <c r="D44" s="61"/>
      <c r="E44" s="61"/>
      <c r="F44" s="90"/>
      <c r="G44" s="93">
        <v>136.55827543047101</v>
      </c>
      <c r="H44" s="93">
        <v>283.11156329285399</v>
      </c>
      <c r="I44" s="93">
        <v>2.82982471916552E-3</v>
      </c>
      <c r="J44" s="85"/>
      <c r="K44" s="61"/>
      <c r="L44" s="61"/>
    </row>
    <row r="45" spans="1:12" x14ac:dyDescent="0.25">
      <c r="A45" s="80">
        <v>39</v>
      </c>
      <c r="B45" s="83" t="s">
        <v>234</v>
      </c>
      <c r="C45" s="81"/>
      <c r="D45" s="61"/>
      <c r="E45" s="61"/>
      <c r="F45" s="90"/>
      <c r="G45" s="93">
        <v>0</v>
      </c>
      <c r="H45" s="93">
        <v>330.15352803956301</v>
      </c>
      <c r="I45" s="93">
        <v>3.3000298677296801E-3</v>
      </c>
      <c r="J45" s="85"/>
      <c r="K45" s="61"/>
      <c r="L45" s="61"/>
    </row>
    <row r="46" spans="1:12" x14ac:dyDescent="0.25">
      <c r="A46" s="80">
        <v>40</v>
      </c>
      <c r="B46" s="83" t="s">
        <v>225</v>
      </c>
      <c r="C46" s="81"/>
      <c r="D46" s="61"/>
      <c r="E46" s="61"/>
      <c r="F46" s="90"/>
      <c r="G46" s="93">
        <v>499.52878915600297</v>
      </c>
      <c r="H46" s="93">
        <v>1035.61923260922</v>
      </c>
      <c r="I46" s="93">
        <v>1.0351470176614801E-2</v>
      </c>
      <c r="J46" s="85"/>
      <c r="K46" s="61"/>
      <c r="L46" s="61"/>
    </row>
    <row r="47" spans="1:12" x14ac:dyDescent="0.25">
      <c r="A47" s="80">
        <v>41</v>
      </c>
      <c r="B47" s="83" t="s">
        <v>196</v>
      </c>
      <c r="C47" s="81"/>
      <c r="D47" s="61"/>
      <c r="E47" s="61"/>
      <c r="F47" s="90"/>
      <c r="G47" s="93">
        <v>19373.4228072962</v>
      </c>
      <c r="H47" s="93">
        <v>40164.830728985697</v>
      </c>
      <c r="I47" s="93">
        <v>0.40146516629704598</v>
      </c>
      <c r="J47" s="85"/>
      <c r="K47" s="61"/>
      <c r="L47" s="61"/>
    </row>
    <row r="48" spans="1:12" x14ac:dyDescent="0.25">
      <c r="A48" s="80">
        <v>42</v>
      </c>
      <c r="B48" s="83" t="s">
        <v>259</v>
      </c>
      <c r="C48" s="81"/>
      <c r="D48" s="61"/>
      <c r="E48" s="61"/>
      <c r="F48" s="90"/>
      <c r="G48" s="93">
        <v>0</v>
      </c>
      <c r="H48" s="93">
        <v>585.42476406717697</v>
      </c>
      <c r="I48" s="93">
        <v>5.8515782587632396E-3</v>
      </c>
      <c r="J48" s="85"/>
      <c r="K48" s="61"/>
      <c r="L48" s="61"/>
    </row>
    <row r="49" spans="1:12" x14ac:dyDescent="0.25">
      <c r="A49" s="80">
        <v>43</v>
      </c>
      <c r="B49" s="83" t="s">
        <v>245</v>
      </c>
      <c r="C49" s="81"/>
      <c r="D49" s="61"/>
      <c r="E49" s="61"/>
      <c r="F49" s="90"/>
      <c r="G49" s="93">
        <v>251.35411853637501</v>
      </c>
      <c r="H49" s="93">
        <v>521.10541975292097</v>
      </c>
      <c r="I49" s="93">
        <v>5.2086780947995298E-3</v>
      </c>
      <c r="J49" s="85"/>
      <c r="K49" s="61"/>
      <c r="L49" s="61"/>
    </row>
    <row r="50" spans="1:12" x14ac:dyDescent="0.25">
      <c r="A50" s="80">
        <v>44</v>
      </c>
      <c r="B50" s="83" t="s">
        <v>231</v>
      </c>
      <c r="C50" s="81"/>
      <c r="D50" s="61"/>
      <c r="E50" s="61"/>
      <c r="F50" s="90"/>
      <c r="G50" s="93">
        <v>0</v>
      </c>
      <c r="H50" s="93">
        <v>402.74308721790402</v>
      </c>
      <c r="I50" s="93">
        <v>4.0255944703443498E-3</v>
      </c>
      <c r="J50" s="85"/>
      <c r="K50" s="61"/>
      <c r="L50" s="61"/>
    </row>
    <row r="51" spans="1:12" x14ac:dyDescent="0.25">
      <c r="A51" s="80">
        <v>45</v>
      </c>
      <c r="B51" s="83" t="s">
        <v>203</v>
      </c>
      <c r="C51" s="81"/>
      <c r="D51" s="61"/>
      <c r="E51" s="61"/>
      <c r="F51" s="90"/>
      <c r="G51" s="93">
        <v>0</v>
      </c>
      <c r="H51" s="93">
        <v>130.15352996500101</v>
      </c>
      <c r="I51" s="93">
        <v>0</v>
      </c>
      <c r="J51" s="85"/>
      <c r="K51" s="61"/>
      <c r="L51" s="61"/>
    </row>
    <row r="52" spans="1:12" x14ac:dyDescent="0.25">
      <c r="A52" s="80">
        <v>46</v>
      </c>
      <c r="B52" s="83" t="s">
        <v>49</v>
      </c>
      <c r="C52" s="81"/>
      <c r="D52" s="61"/>
      <c r="E52" s="61"/>
      <c r="F52" s="90"/>
      <c r="G52" s="93">
        <v>0</v>
      </c>
      <c r="H52" s="93">
        <v>9886.7552784109503</v>
      </c>
      <c r="I52" s="93">
        <v>9.8822471797970601E-2</v>
      </c>
      <c r="J52" s="85"/>
      <c r="K52" s="61"/>
      <c r="L52" s="61"/>
    </row>
    <row r="53" spans="1:12" x14ac:dyDescent="0.25">
      <c r="A53" s="80">
        <v>47</v>
      </c>
      <c r="B53" s="83" t="s">
        <v>233</v>
      </c>
      <c r="C53" s="81"/>
      <c r="D53" s="61"/>
      <c r="E53" s="61"/>
      <c r="F53" s="90"/>
      <c r="G53" s="93">
        <v>544.94947368096098</v>
      </c>
      <c r="H53" s="93">
        <v>1129.78504541812</v>
      </c>
      <c r="I53" s="93">
        <v>1.1292698933531801E-2</v>
      </c>
      <c r="J53" s="85"/>
      <c r="K53" s="61"/>
      <c r="L53" s="61"/>
    </row>
    <row r="54" spans="1:12" x14ac:dyDescent="0.25">
      <c r="A54" s="80">
        <v>48</v>
      </c>
      <c r="B54" s="83" t="s">
        <v>44</v>
      </c>
      <c r="C54" s="81"/>
      <c r="D54" s="61"/>
      <c r="E54" s="61"/>
      <c r="F54" s="90"/>
      <c r="G54" s="93">
        <v>7645.9797960654496</v>
      </c>
      <c r="H54" s="93">
        <v>15851.5863366465</v>
      </c>
      <c r="I54" s="93">
        <v>0.158443584330138</v>
      </c>
      <c r="J54" s="85"/>
      <c r="K54" s="61"/>
      <c r="L54" s="61"/>
    </row>
    <row r="55" spans="1:12" x14ac:dyDescent="0.25">
      <c r="A55" s="80">
        <v>49</v>
      </c>
      <c r="B55" s="83" t="s">
        <v>26</v>
      </c>
      <c r="C55" s="81"/>
      <c r="D55" s="61"/>
      <c r="E55" s="61"/>
      <c r="F55" s="90"/>
      <c r="G55" s="93">
        <v>704.37607636356302</v>
      </c>
      <c r="H55" s="93">
        <v>1460.3070483773699</v>
      </c>
      <c r="I55" s="93">
        <v>1.45964118703103E-2</v>
      </c>
      <c r="J55" s="85"/>
      <c r="K55" s="61"/>
      <c r="L55" s="61"/>
    </row>
    <row r="56" spans="1:12" x14ac:dyDescent="0.25">
      <c r="A56" s="80">
        <v>50</v>
      </c>
      <c r="B56" s="83" t="s">
        <v>247</v>
      </c>
      <c r="C56" s="81"/>
      <c r="D56" s="61"/>
      <c r="E56" s="61"/>
      <c r="F56" s="90"/>
      <c r="G56" s="93">
        <v>0</v>
      </c>
      <c r="H56" s="93">
        <v>1035.2098160317901</v>
      </c>
      <c r="I56" s="93">
        <v>1.0347377877671701E-2</v>
      </c>
      <c r="J56" s="85"/>
      <c r="K56" s="61"/>
      <c r="L56" s="61"/>
    </row>
    <row r="57" spans="1:12" x14ac:dyDescent="0.25">
      <c r="A57" s="80">
        <v>51</v>
      </c>
      <c r="B57" s="83" t="s">
        <v>212</v>
      </c>
      <c r="C57" s="81"/>
      <c r="D57" s="61"/>
      <c r="E57" s="61"/>
      <c r="F57" s="90"/>
      <c r="G57" s="93">
        <v>372.50885747577303</v>
      </c>
      <c r="H57" s="93">
        <v>772.28249000623498</v>
      </c>
      <c r="I57" s="93">
        <v>7.7193034964019103E-3</v>
      </c>
      <c r="J57" s="85"/>
      <c r="K57" s="61"/>
      <c r="L57" s="61"/>
    </row>
    <row r="58" spans="1:12" x14ac:dyDescent="0.25">
      <c r="A58" s="80">
        <v>52</v>
      </c>
      <c r="B58" s="83" t="s">
        <v>258</v>
      </c>
      <c r="C58" s="81"/>
      <c r="D58" s="61"/>
      <c r="E58" s="61"/>
      <c r="F58" s="90"/>
      <c r="G58" s="93">
        <v>24.171703416760099</v>
      </c>
      <c r="H58" s="93">
        <v>50.112589077433697</v>
      </c>
      <c r="I58" s="93">
        <v>5.0089739063754102E-4</v>
      </c>
      <c r="J58" s="85"/>
      <c r="K58" s="61"/>
      <c r="L58" s="61"/>
    </row>
    <row r="59" spans="1:12" x14ac:dyDescent="0.25">
      <c r="A59" s="80">
        <v>53</v>
      </c>
      <c r="B59" s="83" t="s">
        <v>220</v>
      </c>
      <c r="C59" s="81"/>
      <c r="D59" s="61"/>
      <c r="E59" s="61"/>
      <c r="F59" s="90"/>
      <c r="G59" s="93">
        <v>2145.4954038456399</v>
      </c>
      <c r="H59" s="93">
        <v>4448.0245221729001</v>
      </c>
      <c r="I59" s="93">
        <v>4.4459963407707803E-2</v>
      </c>
      <c r="J59" s="85"/>
      <c r="K59" s="61"/>
      <c r="L59" s="61"/>
    </row>
    <row r="60" spans="1:12" x14ac:dyDescent="0.25">
      <c r="A60" s="80">
        <v>54</v>
      </c>
      <c r="B60" s="83" t="s">
        <v>46</v>
      </c>
      <c r="C60" s="81"/>
      <c r="D60" s="61"/>
      <c r="E60" s="61"/>
      <c r="F60" s="90"/>
      <c r="G60" s="93">
        <v>378.94674580409298</v>
      </c>
      <c r="H60" s="93">
        <v>785.62947043045403</v>
      </c>
      <c r="I60" s="93">
        <v>7.8527124419475302E-3</v>
      </c>
      <c r="J60" s="85"/>
      <c r="K60" s="61"/>
      <c r="L60" s="61"/>
    </row>
    <row r="61" spans="1:12" x14ac:dyDescent="0.25">
      <c r="A61" s="80">
        <v>55</v>
      </c>
      <c r="B61" s="83" t="s">
        <v>250</v>
      </c>
      <c r="C61" s="81"/>
      <c r="D61" s="61"/>
      <c r="E61" s="61"/>
      <c r="F61" s="90"/>
      <c r="G61" s="93">
        <v>775.23234422249698</v>
      </c>
      <c r="H61" s="93">
        <v>1607.2057163592599</v>
      </c>
      <c r="I61" s="93">
        <v>1.6064728731100701E-2</v>
      </c>
      <c r="J61" s="85"/>
      <c r="K61" s="61"/>
      <c r="L61" s="61"/>
    </row>
    <row r="62" spans="1:12" x14ac:dyDescent="0.25">
      <c r="A62" s="80">
        <v>56</v>
      </c>
      <c r="B62" s="83" t="s">
        <v>197</v>
      </c>
      <c r="C62" s="81"/>
      <c r="D62" s="61"/>
      <c r="E62" s="61"/>
      <c r="F62" s="90"/>
      <c r="G62" s="93">
        <v>932.15093519437301</v>
      </c>
      <c r="H62" s="93">
        <v>1932.5281287851501</v>
      </c>
      <c r="I62" s="93">
        <v>1.9316469471301601E-2</v>
      </c>
      <c r="J62" s="85"/>
      <c r="K62" s="61"/>
      <c r="L62" s="61"/>
    </row>
    <row r="63" spans="1:12" x14ac:dyDescent="0.25">
      <c r="A63" s="80">
        <v>57</v>
      </c>
      <c r="B63" s="83" t="s">
        <v>215</v>
      </c>
      <c r="C63" s="81"/>
      <c r="D63" s="61"/>
      <c r="E63" s="61"/>
      <c r="F63" s="90"/>
      <c r="G63" s="93">
        <v>411.31392055905201</v>
      </c>
      <c r="H63" s="93">
        <v>852.73284747123296</v>
      </c>
      <c r="I63" s="93">
        <v>8.5234402387244293E-3</v>
      </c>
      <c r="J63" s="85"/>
      <c r="K63" s="61"/>
      <c r="L63" s="61"/>
    </row>
    <row r="64" spans="1:12" x14ac:dyDescent="0.25">
      <c r="A64" s="80">
        <v>58</v>
      </c>
      <c r="B64" s="83" t="s">
        <v>52</v>
      </c>
      <c r="C64" s="81"/>
      <c r="D64" s="61"/>
      <c r="E64" s="61"/>
      <c r="F64" s="90"/>
      <c r="G64" s="93">
        <v>4134.9213860387999</v>
      </c>
      <c r="H64" s="93">
        <v>8572.4871232028599</v>
      </c>
      <c r="I64" s="93">
        <v>8.5685782960670198E-2</v>
      </c>
      <c r="J64" s="85"/>
      <c r="K64" s="61"/>
      <c r="L64" s="61"/>
    </row>
    <row r="65" spans="1:12" x14ac:dyDescent="0.25">
      <c r="A65" s="80">
        <v>59</v>
      </c>
      <c r="B65" s="83" t="s">
        <v>255</v>
      </c>
      <c r="C65" s="81"/>
      <c r="D65" s="61"/>
      <c r="E65" s="61"/>
      <c r="F65" s="90"/>
      <c r="G65" s="93">
        <v>227.22191136702801</v>
      </c>
      <c r="H65" s="93">
        <v>471.07471399097398</v>
      </c>
      <c r="I65" s="93">
        <v>4.70859916395061E-3</v>
      </c>
      <c r="J65" s="85"/>
      <c r="K65" s="61"/>
      <c r="L65" s="61"/>
    </row>
    <row r="66" spans="1:12" x14ac:dyDescent="0.25">
      <c r="A66" s="80">
        <v>60</v>
      </c>
      <c r="B66" s="83" t="s">
        <v>41</v>
      </c>
      <c r="C66" s="81"/>
      <c r="D66" s="61"/>
      <c r="E66" s="61"/>
      <c r="F66" s="90"/>
      <c r="G66" s="93">
        <v>0</v>
      </c>
      <c r="H66" s="93">
        <v>1504.3193304511001</v>
      </c>
      <c r="I66" s="93">
        <v>1.50363340066954E-2</v>
      </c>
      <c r="J66" s="85"/>
      <c r="K66" s="61"/>
      <c r="L66" s="61"/>
    </row>
    <row r="67" spans="1:12" x14ac:dyDescent="0.25">
      <c r="A67" s="80">
        <v>61</v>
      </c>
      <c r="B67" s="83" t="s">
        <v>223</v>
      </c>
      <c r="C67" s="81"/>
      <c r="D67" s="61"/>
      <c r="E67" s="61"/>
      <c r="F67" s="90"/>
      <c r="G67" s="93">
        <v>317.37209608721599</v>
      </c>
      <c r="H67" s="93">
        <v>657.97338158777495</v>
      </c>
      <c r="I67" s="93">
        <v>6.5767336314836002E-3</v>
      </c>
      <c r="J67" s="85"/>
      <c r="K67" s="61"/>
      <c r="L67" s="61"/>
    </row>
    <row r="68" spans="1:12" x14ac:dyDescent="0.25">
      <c r="A68" s="80">
        <v>62</v>
      </c>
      <c r="B68" s="83" t="s">
        <v>249</v>
      </c>
      <c r="C68" s="81"/>
      <c r="D68" s="61"/>
      <c r="E68" s="61"/>
      <c r="F68" s="90"/>
      <c r="G68" s="93">
        <v>23.9939703034016</v>
      </c>
      <c r="H68" s="93">
        <v>49.744114157746701</v>
      </c>
      <c r="I68" s="93">
        <v>4.9721432158873595E-4</v>
      </c>
      <c r="J68" s="85"/>
      <c r="K68" s="61"/>
      <c r="L68" s="61"/>
    </row>
    <row r="69" spans="1:12" x14ac:dyDescent="0.25">
      <c r="A69" s="80">
        <v>63</v>
      </c>
      <c r="B69" s="83" t="s">
        <v>230</v>
      </c>
      <c r="C69" s="81"/>
      <c r="D69" s="61"/>
      <c r="E69" s="61"/>
      <c r="F69" s="90"/>
      <c r="G69" s="93">
        <v>553.87562559629998</v>
      </c>
      <c r="H69" s="93">
        <v>1148.29067471796</v>
      </c>
      <c r="I69" s="93">
        <v>1.14776708457607E-2</v>
      </c>
      <c r="J69" s="85"/>
      <c r="K69" s="61"/>
      <c r="L69" s="61"/>
    </row>
    <row r="70" spans="1:12" x14ac:dyDescent="0.25">
      <c r="A70" s="80">
        <v>64</v>
      </c>
      <c r="B70" s="97" t="s">
        <v>214</v>
      </c>
      <c r="C70" s="98"/>
      <c r="D70" s="99"/>
      <c r="E70" s="99"/>
      <c r="F70" s="100"/>
      <c r="G70" s="93">
        <v>119.63413341399701</v>
      </c>
      <c r="H70" s="93">
        <v>248.02456260710201</v>
      </c>
      <c r="I70" s="93">
        <v>2.4791146997403799E-3</v>
      </c>
      <c r="J70" s="101"/>
      <c r="K70" s="99"/>
      <c r="L70" s="99"/>
    </row>
    <row r="71" spans="1:12" x14ac:dyDescent="0.25">
      <c r="A71" s="80">
        <v>65</v>
      </c>
      <c r="B71" s="83" t="s">
        <v>218</v>
      </c>
      <c r="C71" s="102"/>
      <c r="D71" s="82"/>
      <c r="E71" s="82"/>
      <c r="F71" s="88"/>
      <c r="G71" s="93">
        <v>1178.5680228041199</v>
      </c>
      <c r="H71" s="93">
        <v>2443.39813410232</v>
      </c>
      <c r="I71" s="93">
        <v>2.4422840092523199E-2</v>
      </c>
      <c r="J71" s="103"/>
      <c r="K71" s="82"/>
      <c r="L71" s="82"/>
    </row>
    <row r="72" spans="1:12" x14ac:dyDescent="0.25">
      <c r="A72" s="80">
        <v>66</v>
      </c>
      <c r="B72" s="83" t="s">
        <v>219</v>
      </c>
      <c r="C72" s="102"/>
      <c r="D72" s="82"/>
      <c r="E72" s="82"/>
      <c r="F72" s="88"/>
      <c r="G72" s="93">
        <v>0</v>
      </c>
      <c r="H72" s="93">
        <v>4974.3704741169204</v>
      </c>
      <c r="I72" s="93">
        <v>4.9721022928979203E-2</v>
      </c>
      <c r="J72" s="103"/>
      <c r="K72" s="82"/>
      <c r="L72" s="82"/>
    </row>
  </sheetData>
  <mergeCells count="3">
    <mergeCell ref="K3:L3"/>
    <mergeCell ref="B3:B5"/>
    <mergeCell ref="B2:L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D5FA-FB10-4D74-849E-4D45F43FC2BF}">
  <dimension ref="B1:H70"/>
  <sheetViews>
    <sheetView zoomScale="85" zoomScaleNormal="85" workbookViewId="0">
      <selection activeCell="D4" sqref="D4:F69"/>
    </sheetView>
  </sheetViews>
  <sheetFormatPr baseColWidth="10" defaultColWidth="9.140625" defaultRowHeight="15" x14ac:dyDescent="0.25"/>
  <cols>
    <col min="2" max="2" width="34.85546875" customWidth="1"/>
    <col min="3" max="3" width="19.140625" bestFit="1" customWidth="1"/>
    <col min="4" max="4" width="12.7109375" bestFit="1" customWidth="1"/>
    <col min="5" max="5" width="23.7109375" customWidth="1"/>
    <col min="6" max="6" width="13.85546875" bestFit="1" customWidth="1"/>
    <col min="7" max="7" width="11.42578125" bestFit="1" customWidth="1"/>
    <col min="8" max="8" width="22.140625" bestFit="1" customWidth="1"/>
  </cols>
  <sheetData>
    <row r="1" spans="2:8" ht="30" x14ac:dyDescent="0.25">
      <c r="B1" s="96" t="s">
        <v>294</v>
      </c>
      <c r="C1" s="71" t="s">
        <v>1</v>
      </c>
      <c r="D1" s="72" t="s">
        <v>5</v>
      </c>
      <c r="E1" s="72" t="s">
        <v>8</v>
      </c>
      <c r="F1" s="72" t="s">
        <v>6</v>
      </c>
      <c r="G1" s="108" t="s">
        <v>9</v>
      </c>
      <c r="H1" s="109"/>
    </row>
    <row r="2" spans="2:8" ht="30" x14ac:dyDescent="0.25">
      <c r="C2" s="73" t="s">
        <v>10</v>
      </c>
      <c r="D2" s="70" t="s">
        <v>13</v>
      </c>
      <c r="E2" s="70" t="s">
        <v>16</v>
      </c>
      <c r="F2" s="70" t="s">
        <v>14</v>
      </c>
      <c r="G2" s="69" t="s">
        <v>17</v>
      </c>
      <c r="H2" s="74" t="s">
        <v>18</v>
      </c>
    </row>
    <row r="3" spans="2:8" ht="30" x14ac:dyDescent="0.25">
      <c r="B3" s="95" t="s">
        <v>185</v>
      </c>
      <c r="C3" s="75" t="s">
        <v>19</v>
      </c>
      <c r="D3" s="76" t="s">
        <v>291</v>
      </c>
      <c r="E3" s="76" t="s">
        <v>293</v>
      </c>
      <c r="F3" s="76" t="s">
        <v>292</v>
      </c>
      <c r="G3" s="76" t="s">
        <v>289</v>
      </c>
      <c r="H3" s="77" t="s">
        <v>290</v>
      </c>
    </row>
    <row r="4" spans="2:8" ht="28.5" x14ac:dyDescent="0.25">
      <c r="B4" s="2" t="s">
        <v>39</v>
      </c>
      <c r="C4" s="78"/>
      <c r="D4" s="79">
        <v>1.5</v>
      </c>
      <c r="E4" s="79">
        <v>1.5</v>
      </c>
      <c r="F4" s="79">
        <v>2</v>
      </c>
    </row>
    <row r="5" spans="2:8" ht="28.5" x14ac:dyDescent="0.25">
      <c r="B5" s="2" t="s">
        <v>240</v>
      </c>
      <c r="C5" s="78"/>
      <c r="D5" s="79">
        <v>0</v>
      </c>
      <c r="E5" s="79">
        <v>1</v>
      </c>
      <c r="F5" s="79">
        <v>2</v>
      </c>
    </row>
    <row r="6" spans="2:8" ht="28.5" x14ac:dyDescent="0.25">
      <c r="B6" s="2" t="s">
        <v>260</v>
      </c>
      <c r="C6" s="78"/>
      <c r="D6" s="79">
        <v>0</v>
      </c>
      <c r="E6" s="79">
        <v>1</v>
      </c>
      <c r="F6" s="79">
        <v>2</v>
      </c>
    </row>
    <row r="7" spans="2:8" ht="28.5" x14ac:dyDescent="0.25">
      <c r="B7" s="2" t="s">
        <v>256</v>
      </c>
      <c r="C7" s="78"/>
      <c r="D7" s="79">
        <v>0.14285714285714199</v>
      </c>
      <c r="E7" s="79">
        <v>1</v>
      </c>
      <c r="F7" s="79">
        <v>2</v>
      </c>
    </row>
    <row r="8" spans="2:8" x14ac:dyDescent="0.25">
      <c r="B8" s="2" t="s">
        <v>47</v>
      </c>
      <c r="C8" s="78"/>
      <c r="D8" s="79">
        <v>0</v>
      </c>
      <c r="E8" s="79">
        <v>1</v>
      </c>
      <c r="F8" s="79">
        <v>1.5</v>
      </c>
    </row>
    <row r="9" spans="2:8" x14ac:dyDescent="0.25">
      <c r="B9" s="2" t="s">
        <v>229</v>
      </c>
      <c r="C9" s="78"/>
      <c r="D9" s="79">
        <v>1</v>
      </c>
      <c r="E9" s="79">
        <v>1</v>
      </c>
      <c r="F9" s="79">
        <v>2</v>
      </c>
    </row>
    <row r="10" spans="2:8" x14ac:dyDescent="0.25">
      <c r="B10" s="2" t="s">
        <v>193</v>
      </c>
      <c r="C10" s="78"/>
      <c r="D10" s="79">
        <v>2.5</v>
      </c>
      <c r="E10" s="79">
        <v>3.5</v>
      </c>
      <c r="F10" s="79">
        <v>3.5</v>
      </c>
    </row>
    <row r="11" spans="2:8" ht="28.5" x14ac:dyDescent="0.25">
      <c r="B11" s="2" t="s">
        <v>244</v>
      </c>
      <c r="C11" s="78"/>
      <c r="D11" s="79">
        <v>0</v>
      </c>
      <c r="E11" s="79">
        <v>1.5</v>
      </c>
      <c r="F11" s="79">
        <v>2</v>
      </c>
    </row>
    <row r="12" spans="2:8" ht="28.5" x14ac:dyDescent="0.25">
      <c r="B12" s="2" t="s">
        <v>210</v>
      </c>
      <c r="C12" s="78"/>
      <c r="D12" s="79">
        <v>1</v>
      </c>
      <c r="E12" s="79">
        <v>3</v>
      </c>
      <c r="F12" s="79">
        <v>2</v>
      </c>
    </row>
    <row r="13" spans="2:8" ht="28.5" x14ac:dyDescent="0.25">
      <c r="B13" s="2" t="s">
        <v>236</v>
      </c>
      <c r="C13" s="78"/>
      <c r="D13" s="79">
        <v>0.5</v>
      </c>
      <c r="E13" s="79">
        <v>1</v>
      </c>
      <c r="F13" s="79">
        <v>2</v>
      </c>
    </row>
    <row r="14" spans="2:8" x14ac:dyDescent="0.25">
      <c r="B14" s="2" t="s">
        <v>36</v>
      </c>
      <c r="C14" s="78"/>
      <c r="D14" s="79">
        <v>0.85227272727272696</v>
      </c>
      <c r="E14" s="79">
        <v>3.0643939393939301</v>
      </c>
      <c r="F14" s="79">
        <v>2</v>
      </c>
    </row>
    <row r="15" spans="2:8" ht="28.5" x14ac:dyDescent="0.25">
      <c r="B15" s="2" t="s">
        <v>253</v>
      </c>
      <c r="C15" s="78"/>
      <c r="D15" s="79">
        <v>0.88888888888888795</v>
      </c>
      <c r="E15" s="79">
        <v>1.88888888888888</v>
      </c>
      <c r="F15" s="79">
        <v>2</v>
      </c>
    </row>
    <row r="16" spans="2:8" ht="42.75" x14ac:dyDescent="0.25">
      <c r="B16" s="2" t="s">
        <v>187</v>
      </c>
      <c r="C16" s="78"/>
      <c r="D16" s="79">
        <v>2.5714285714285698</v>
      </c>
      <c r="E16" s="79">
        <v>3.2244897959183598</v>
      </c>
      <c r="F16" s="79">
        <v>4.1666666666666599</v>
      </c>
    </row>
    <row r="17" spans="2:6" x14ac:dyDescent="0.25">
      <c r="B17" s="2" t="s">
        <v>50</v>
      </c>
      <c r="C17" s="78"/>
      <c r="D17" s="79">
        <v>1</v>
      </c>
      <c r="E17" s="79">
        <v>2.6</v>
      </c>
      <c r="F17" s="79">
        <v>2</v>
      </c>
    </row>
    <row r="18" spans="2:6" ht="28.5" x14ac:dyDescent="0.25">
      <c r="B18" s="2" t="s">
        <v>213</v>
      </c>
      <c r="C18" s="78"/>
      <c r="D18" s="79">
        <v>0.85185185185185097</v>
      </c>
      <c r="E18" s="79">
        <v>1.74074074074074</v>
      </c>
      <c r="F18" s="79">
        <v>2.1111111111111098</v>
      </c>
    </row>
    <row r="19" spans="2:6" x14ac:dyDescent="0.25">
      <c r="B19" s="2" t="s">
        <v>248</v>
      </c>
      <c r="C19" s="78"/>
      <c r="D19" s="79">
        <v>0</v>
      </c>
      <c r="E19" s="79">
        <v>1</v>
      </c>
      <c r="F19" s="79">
        <v>2</v>
      </c>
    </row>
    <row r="20" spans="2:6" ht="28.5" x14ac:dyDescent="0.25">
      <c r="B20" s="2" t="s">
        <v>208</v>
      </c>
      <c r="C20" s="78"/>
      <c r="D20" s="79">
        <v>0.66666666666666596</v>
      </c>
      <c r="E20" s="79">
        <v>3</v>
      </c>
      <c r="F20" s="79">
        <v>2</v>
      </c>
    </row>
    <row r="21" spans="2:6" ht="28.5" x14ac:dyDescent="0.25">
      <c r="B21" s="2" t="s">
        <v>238</v>
      </c>
      <c r="C21" s="78"/>
      <c r="D21" s="79">
        <v>0</v>
      </c>
      <c r="E21" s="79">
        <v>1</v>
      </c>
      <c r="F21" s="79">
        <v>2</v>
      </c>
    </row>
    <row r="22" spans="2:6" x14ac:dyDescent="0.25">
      <c r="B22" s="2" t="s">
        <v>191</v>
      </c>
      <c r="C22" s="78"/>
      <c r="D22" s="79">
        <v>2.5</v>
      </c>
      <c r="E22" s="79">
        <v>3.5</v>
      </c>
      <c r="F22" s="79">
        <v>3.5</v>
      </c>
    </row>
    <row r="23" spans="2:6" x14ac:dyDescent="0.25">
      <c r="B23" s="2" t="s">
        <v>189</v>
      </c>
      <c r="C23" s="78"/>
      <c r="D23" s="79">
        <v>3</v>
      </c>
      <c r="E23" s="79">
        <v>2.75</v>
      </c>
      <c r="F23" s="79">
        <v>3</v>
      </c>
    </row>
    <row r="24" spans="2:6" x14ac:dyDescent="0.25">
      <c r="B24" s="2" t="s">
        <v>51</v>
      </c>
      <c r="C24" s="78"/>
      <c r="D24" s="79">
        <v>1</v>
      </c>
      <c r="E24" s="79">
        <v>3.3333333333333299</v>
      </c>
      <c r="F24" s="79">
        <v>2</v>
      </c>
    </row>
    <row r="25" spans="2:6" x14ac:dyDescent="0.25">
      <c r="B25" s="2" t="s">
        <v>227</v>
      </c>
      <c r="C25" s="78"/>
      <c r="D25" s="79">
        <v>1</v>
      </c>
      <c r="E25" s="79">
        <v>4</v>
      </c>
      <c r="F25" s="79">
        <v>2</v>
      </c>
    </row>
    <row r="26" spans="2:6" ht="28.5" x14ac:dyDescent="0.25">
      <c r="B26" s="2" t="s">
        <v>239</v>
      </c>
      <c r="C26" s="78"/>
      <c r="D26" s="79">
        <v>0</v>
      </c>
      <c r="E26" s="79">
        <v>1</v>
      </c>
      <c r="F26" s="79">
        <v>2</v>
      </c>
    </row>
    <row r="27" spans="2:6" ht="28.5" x14ac:dyDescent="0.25">
      <c r="B27" s="2" t="s">
        <v>221</v>
      </c>
      <c r="C27" s="78"/>
      <c r="D27" s="79">
        <v>1.6666666666666601</v>
      </c>
      <c r="E27" s="79">
        <v>3</v>
      </c>
      <c r="F27" s="79">
        <v>2</v>
      </c>
    </row>
    <row r="28" spans="2:6" x14ac:dyDescent="0.25">
      <c r="B28" s="2" t="s">
        <v>242</v>
      </c>
      <c r="C28" s="78"/>
      <c r="D28" s="79">
        <v>0</v>
      </c>
      <c r="E28" s="79">
        <v>1</v>
      </c>
      <c r="F28" s="79">
        <v>1.5</v>
      </c>
    </row>
    <row r="29" spans="2:6" x14ac:dyDescent="0.25">
      <c r="B29" s="2" t="s">
        <v>207</v>
      </c>
      <c r="C29" s="78"/>
      <c r="D29" s="79">
        <v>2.3333333333333299</v>
      </c>
      <c r="E29" s="79">
        <v>3</v>
      </c>
      <c r="F29" s="79">
        <v>2</v>
      </c>
    </row>
    <row r="30" spans="2:6" ht="28.5" x14ac:dyDescent="0.25">
      <c r="B30" s="2" t="s">
        <v>29</v>
      </c>
      <c r="C30" s="78"/>
      <c r="D30" s="79">
        <v>1</v>
      </c>
      <c r="E30" s="79">
        <v>3</v>
      </c>
      <c r="F30" s="79">
        <v>2</v>
      </c>
    </row>
    <row r="31" spans="2:6" x14ac:dyDescent="0.25">
      <c r="B31" s="2" t="s">
        <v>30</v>
      </c>
      <c r="C31" s="78"/>
      <c r="D31" s="79">
        <v>1</v>
      </c>
      <c r="E31" s="79">
        <v>3</v>
      </c>
      <c r="F31" s="79">
        <v>2</v>
      </c>
    </row>
    <row r="32" spans="2:6" ht="28.5" x14ac:dyDescent="0.25">
      <c r="B32" s="2" t="s">
        <v>23</v>
      </c>
      <c r="C32" s="78"/>
      <c r="D32" s="79">
        <v>0.80681818181818099</v>
      </c>
      <c r="E32" s="79">
        <v>2.9999999999999898</v>
      </c>
      <c r="F32" s="79">
        <v>2</v>
      </c>
    </row>
    <row r="33" spans="2:6" x14ac:dyDescent="0.25">
      <c r="B33" s="2" t="s">
        <v>33</v>
      </c>
      <c r="C33" s="78"/>
      <c r="D33" s="79">
        <v>1</v>
      </c>
      <c r="E33" s="79">
        <v>3</v>
      </c>
      <c r="F33" s="79">
        <v>2</v>
      </c>
    </row>
    <row r="34" spans="2:6" ht="28.5" x14ac:dyDescent="0.25">
      <c r="B34" s="2" t="s">
        <v>31</v>
      </c>
      <c r="C34" s="78"/>
      <c r="D34" s="79">
        <v>1</v>
      </c>
      <c r="E34" s="79">
        <v>3</v>
      </c>
      <c r="F34" s="79">
        <v>2</v>
      </c>
    </row>
    <row r="35" spans="2:6" ht="28.5" x14ac:dyDescent="0.25">
      <c r="B35" s="2" t="s">
        <v>209</v>
      </c>
      <c r="C35" s="78"/>
      <c r="D35" s="79">
        <v>1</v>
      </c>
      <c r="E35" s="79">
        <v>3</v>
      </c>
      <c r="F35" s="79">
        <v>2</v>
      </c>
    </row>
    <row r="36" spans="2:6" ht="28.5" x14ac:dyDescent="0.25">
      <c r="B36" s="2" t="s">
        <v>206</v>
      </c>
      <c r="C36" s="78"/>
      <c r="D36" s="79">
        <v>1</v>
      </c>
      <c r="E36" s="79">
        <v>3</v>
      </c>
      <c r="F36" s="79">
        <v>2</v>
      </c>
    </row>
    <row r="37" spans="2:6" ht="28.5" x14ac:dyDescent="0.25">
      <c r="B37" s="2" t="s">
        <v>202</v>
      </c>
      <c r="C37" s="78"/>
      <c r="D37" s="79">
        <v>1</v>
      </c>
      <c r="E37" s="79">
        <v>3</v>
      </c>
      <c r="F37" s="79">
        <v>2</v>
      </c>
    </row>
    <row r="38" spans="2:6" ht="28.5" x14ac:dyDescent="0.25">
      <c r="B38" s="2" t="s">
        <v>205</v>
      </c>
      <c r="C38" s="78"/>
      <c r="D38" s="79">
        <v>1</v>
      </c>
      <c r="E38" s="79">
        <v>3</v>
      </c>
      <c r="F38" s="79">
        <v>2</v>
      </c>
    </row>
    <row r="39" spans="2:6" ht="28.5" x14ac:dyDescent="0.25">
      <c r="B39" s="2" t="s">
        <v>24</v>
      </c>
      <c r="C39" s="78"/>
      <c r="D39" s="79">
        <v>1.28571428571428</v>
      </c>
      <c r="E39" s="79">
        <v>3</v>
      </c>
      <c r="F39" s="79">
        <v>2</v>
      </c>
    </row>
    <row r="40" spans="2:6" ht="28.5" x14ac:dyDescent="0.25">
      <c r="B40" s="2" t="s">
        <v>201</v>
      </c>
      <c r="C40" s="78"/>
      <c r="D40" s="79">
        <v>3</v>
      </c>
      <c r="E40" s="79">
        <v>3</v>
      </c>
      <c r="F40" s="79">
        <v>2</v>
      </c>
    </row>
    <row r="41" spans="2:6" x14ac:dyDescent="0.25">
      <c r="B41" s="2" t="s">
        <v>22</v>
      </c>
      <c r="C41" s="78"/>
      <c r="D41" s="79">
        <v>1</v>
      </c>
      <c r="E41" s="79">
        <v>3.8333333333333299</v>
      </c>
      <c r="F41" s="79">
        <v>1.9166666666666601</v>
      </c>
    </row>
    <row r="42" spans="2:6" ht="42.75" x14ac:dyDescent="0.25">
      <c r="B42" s="2" t="s">
        <v>234</v>
      </c>
      <c r="C42" s="78"/>
      <c r="D42" s="79">
        <v>0</v>
      </c>
      <c r="E42" s="79">
        <v>1</v>
      </c>
      <c r="F42" s="79">
        <v>2</v>
      </c>
    </row>
    <row r="43" spans="2:6" x14ac:dyDescent="0.25">
      <c r="B43" s="2" t="s">
        <v>225</v>
      </c>
      <c r="C43" s="78"/>
      <c r="D43" s="79">
        <v>1.6666666666666601</v>
      </c>
      <c r="E43" s="79">
        <v>3</v>
      </c>
      <c r="F43" s="79">
        <v>2</v>
      </c>
    </row>
    <row r="44" spans="2:6" x14ac:dyDescent="0.25">
      <c r="B44" s="2" t="s">
        <v>196</v>
      </c>
      <c r="C44" s="78"/>
      <c r="D44" s="79">
        <v>1</v>
      </c>
      <c r="E44" s="79">
        <v>4</v>
      </c>
      <c r="F44" s="79">
        <v>2</v>
      </c>
    </row>
    <row r="45" spans="2:6" x14ac:dyDescent="0.25">
      <c r="B45" s="2" t="s">
        <v>259</v>
      </c>
      <c r="C45" s="78"/>
      <c r="D45" s="79">
        <v>0</v>
      </c>
      <c r="E45" s="79">
        <v>1</v>
      </c>
      <c r="F45" s="79">
        <v>2</v>
      </c>
    </row>
    <row r="46" spans="2:6" ht="28.5" x14ac:dyDescent="0.25">
      <c r="B46" s="2" t="s">
        <v>245</v>
      </c>
      <c r="C46" s="78"/>
      <c r="D46" s="79">
        <v>0.19999999999999901</v>
      </c>
      <c r="E46" s="79">
        <v>1.3999999999999899</v>
      </c>
      <c r="F46" s="79">
        <v>2</v>
      </c>
    </row>
    <row r="47" spans="2:6" x14ac:dyDescent="0.25">
      <c r="B47" s="2" t="s">
        <v>231</v>
      </c>
      <c r="C47" s="78"/>
      <c r="D47" s="79"/>
      <c r="E47" s="79">
        <v>1</v>
      </c>
      <c r="F47" s="79">
        <v>2</v>
      </c>
    </row>
    <row r="48" spans="2:6" ht="28.5" x14ac:dyDescent="0.25">
      <c r="B48" s="2" t="s">
        <v>203</v>
      </c>
      <c r="C48" s="78"/>
      <c r="D48" s="79">
        <v>0</v>
      </c>
      <c r="E48" s="79">
        <v>3</v>
      </c>
      <c r="F48" s="79">
        <v>0</v>
      </c>
    </row>
    <row r="49" spans="2:6" x14ac:dyDescent="0.25">
      <c r="B49" s="2" t="s">
        <v>49</v>
      </c>
      <c r="C49" s="78"/>
      <c r="D49" s="79">
        <v>0</v>
      </c>
      <c r="E49" s="79">
        <v>1</v>
      </c>
      <c r="F49" s="79">
        <v>2</v>
      </c>
    </row>
    <row r="50" spans="2:6" x14ac:dyDescent="0.25">
      <c r="B50" s="2" t="s">
        <v>233</v>
      </c>
      <c r="C50" s="78"/>
      <c r="D50" s="79">
        <v>0.5</v>
      </c>
      <c r="E50" s="79">
        <v>1</v>
      </c>
      <c r="F50" s="79">
        <v>2</v>
      </c>
    </row>
    <row r="51" spans="2:6" x14ac:dyDescent="0.25">
      <c r="B51" s="2" t="s">
        <v>44</v>
      </c>
      <c r="C51" s="78"/>
      <c r="D51" s="79">
        <v>1</v>
      </c>
      <c r="E51" s="79">
        <v>1</v>
      </c>
      <c r="F51" s="79">
        <v>2</v>
      </c>
    </row>
    <row r="52" spans="2:6" ht="28.5" x14ac:dyDescent="0.25">
      <c r="B52" s="2" t="s">
        <v>26</v>
      </c>
      <c r="C52" s="78"/>
      <c r="D52" s="79">
        <v>1</v>
      </c>
      <c r="E52" s="79">
        <v>3</v>
      </c>
      <c r="F52" s="79">
        <v>2</v>
      </c>
    </row>
    <row r="53" spans="2:6" x14ac:dyDescent="0.25">
      <c r="B53" s="2" t="s">
        <v>247</v>
      </c>
      <c r="C53" s="78"/>
      <c r="D53" s="79">
        <v>0</v>
      </c>
      <c r="E53" s="79">
        <v>2</v>
      </c>
      <c r="F53" s="79">
        <v>2</v>
      </c>
    </row>
    <row r="54" spans="2:6" ht="28.5" x14ac:dyDescent="0.25">
      <c r="B54" s="2" t="s">
        <v>212</v>
      </c>
      <c r="C54" s="78"/>
      <c r="D54" s="79">
        <v>1</v>
      </c>
      <c r="E54" s="79">
        <v>3</v>
      </c>
      <c r="F54" s="79">
        <v>2</v>
      </c>
    </row>
    <row r="55" spans="2:6" ht="28.5" x14ac:dyDescent="0.25">
      <c r="B55" s="2" t="s">
        <v>258</v>
      </c>
      <c r="C55" s="78"/>
      <c r="D55" s="79">
        <v>0.5</v>
      </c>
      <c r="E55" s="79">
        <v>3</v>
      </c>
      <c r="F55" s="79">
        <v>2</v>
      </c>
    </row>
    <row r="56" spans="2:6" ht="28.5" x14ac:dyDescent="0.25">
      <c r="B56" s="2" t="s">
        <v>220</v>
      </c>
      <c r="C56" s="78"/>
      <c r="D56" s="79">
        <v>1.1111111111111101</v>
      </c>
      <c r="E56" s="79">
        <v>3</v>
      </c>
      <c r="F56" s="79">
        <v>2</v>
      </c>
    </row>
    <row r="57" spans="2:6" ht="28.5" x14ac:dyDescent="0.25">
      <c r="B57" s="2" t="s">
        <v>46</v>
      </c>
      <c r="C57" s="78"/>
      <c r="D57" s="79">
        <v>0.5</v>
      </c>
      <c r="E57" s="79">
        <v>1</v>
      </c>
      <c r="F57" s="79">
        <v>2</v>
      </c>
    </row>
    <row r="58" spans="2:6" x14ac:dyDescent="0.25">
      <c r="B58" s="2" t="s">
        <v>250</v>
      </c>
      <c r="C58" s="78"/>
      <c r="D58" s="79">
        <v>0.33333333333333298</v>
      </c>
      <c r="E58" s="79">
        <v>1.2222222222222201</v>
      </c>
      <c r="F58" s="79">
        <v>2.1111111111111098</v>
      </c>
    </row>
    <row r="59" spans="2:6" ht="28.5" x14ac:dyDescent="0.25">
      <c r="B59" s="2" t="s">
        <v>197</v>
      </c>
      <c r="C59" s="78"/>
      <c r="D59" s="79">
        <v>1</v>
      </c>
      <c r="E59" s="79">
        <v>3.8333333333333299</v>
      </c>
      <c r="F59" s="79">
        <v>1.9166666666666601</v>
      </c>
    </row>
    <row r="60" spans="2:6" x14ac:dyDescent="0.25">
      <c r="B60" s="2" t="s">
        <v>215</v>
      </c>
      <c r="C60" s="78"/>
      <c r="D60" s="79">
        <v>1.99999999999999</v>
      </c>
      <c r="E60" s="79">
        <v>2.125</v>
      </c>
      <c r="F60" s="79">
        <v>2</v>
      </c>
    </row>
    <row r="61" spans="2:6" x14ac:dyDescent="0.25">
      <c r="B61" s="2" t="s">
        <v>52</v>
      </c>
      <c r="C61" s="78"/>
      <c r="D61" s="79">
        <v>1</v>
      </c>
      <c r="E61" s="79">
        <v>2.5714285714285698</v>
      </c>
      <c r="F61" s="79">
        <v>2</v>
      </c>
    </row>
    <row r="62" spans="2:6" ht="28.5" x14ac:dyDescent="0.25">
      <c r="B62" s="2" t="s">
        <v>255</v>
      </c>
      <c r="C62" s="78"/>
      <c r="D62" s="79">
        <v>2</v>
      </c>
      <c r="E62" s="79">
        <v>3</v>
      </c>
      <c r="F62" s="79">
        <v>2</v>
      </c>
    </row>
    <row r="63" spans="2:6" x14ac:dyDescent="0.25">
      <c r="B63" s="2" t="s">
        <v>41</v>
      </c>
      <c r="C63" s="78"/>
      <c r="D63" s="79">
        <v>0</v>
      </c>
      <c r="E63" s="79">
        <v>2.25</v>
      </c>
      <c r="F63" s="79">
        <v>2</v>
      </c>
    </row>
    <row r="64" spans="2:6" x14ac:dyDescent="0.25">
      <c r="B64" s="2" t="s">
        <v>223</v>
      </c>
      <c r="C64" s="78"/>
      <c r="D64" s="79">
        <v>1</v>
      </c>
      <c r="E64" s="79">
        <v>4</v>
      </c>
      <c r="F64" s="79">
        <v>2</v>
      </c>
    </row>
    <row r="65" spans="2:6" ht="28.5" x14ac:dyDescent="0.25">
      <c r="B65" s="2" t="s">
        <v>249</v>
      </c>
      <c r="C65" s="78"/>
      <c r="D65" s="79">
        <v>2</v>
      </c>
      <c r="E65" s="79">
        <v>1</v>
      </c>
      <c r="F65" s="79">
        <v>2</v>
      </c>
    </row>
    <row r="66" spans="2:6" ht="28.5" x14ac:dyDescent="0.25">
      <c r="B66" s="2" t="s">
        <v>230</v>
      </c>
      <c r="C66" s="78"/>
      <c r="D66" s="79">
        <v>1</v>
      </c>
      <c r="E66" s="79">
        <v>1.3</v>
      </c>
      <c r="F66" s="79">
        <v>2</v>
      </c>
    </row>
    <row r="67" spans="2:6" ht="28.5" x14ac:dyDescent="0.25">
      <c r="B67" s="2" t="s">
        <v>214</v>
      </c>
      <c r="C67" s="78"/>
      <c r="D67" s="79">
        <v>3</v>
      </c>
      <c r="E67" s="79">
        <v>3</v>
      </c>
      <c r="F67" s="79">
        <v>2</v>
      </c>
    </row>
    <row r="68" spans="2:6" ht="28.5" x14ac:dyDescent="0.25">
      <c r="B68" s="2" t="s">
        <v>218</v>
      </c>
      <c r="C68" s="78"/>
      <c r="D68" s="79">
        <v>0.5</v>
      </c>
      <c r="E68" s="79">
        <v>2</v>
      </c>
      <c r="F68" s="79">
        <v>2</v>
      </c>
    </row>
    <row r="69" spans="2:6" ht="28.5" x14ac:dyDescent="0.25">
      <c r="B69" s="2" t="s">
        <v>219</v>
      </c>
      <c r="C69" s="78"/>
      <c r="D69" s="79">
        <v>0</v>
      </c>
      <c r="E69" s="79">
        <v>2.1428571428571401</v>
      </c>
      <c r="F69" s="79">
        <v>2</v>
      </c>
    </row>
    <row r="70" spans="2:6" x14ac:dyDescent="0.25">
      <c r="B70" s="2"/>
      <c r="C70" s="78"/>
      <c r="D70" s="79"/>
      <c r="E70" s="79"/>
      <c r="F70" s="79"/>
    </row>
  </sheetData>
  <mergeCells count="1">
    <mergeCell ref="G1:H1"/>
  </mergeCells>
  <phoneticPr fontId="13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DCC6-B302-42CD-9470-E3436FD2107B}">
  <dimension ref="A1:BO72"/>
  <sheetViews>
    <sheetView workbookViewId="0">
      <selection activeCell="D70" sqref="D70"/>
    </sheetView>
  </sheetViews>
  <sheetFormatPr baseColWidth="10" defaultColWidth="11.42578125" defaultRowHeight="15" x14ac:dyDescent="0.25"/>
  <cols>
    <col min="1" max="1" width="23.7109375" customWidth="1"/>
    <col min="2" max="2" width="23.42578125" customWidth="1"/>
    <col min="3" max="3" width="25.42578125" customWidth="1"/>
    <col min="4" max="4" width="20.85546875" customWidth="1"/>
  </cols>
  <sheetData>
    <row r="1" spans="1:67" ht="27" customHeight="1" x14ac:dyDescent="0.25">
      <c r="A1" s="51" t="s">
        <v>56</v>
      </c>
      <c r="B1" s="52" t="s">
        <v>57</v>
      </c>
      <c r="C1" s="36"/>
      <c r="D1" s="21" t="s">
        <v>58</v>
      </c>
      <c r="E1" s="22" t="s">
        <v>59</v>
      </c>
      <c r="F1" s="23" t="s">
        <v>60</v>
      </c>
      <c r="G1" s="22" t="s">
        <v>61</v>
      </c>
      <c r="H1" s="23" t="s">
        <v>62</v>
      </c>
      <c r="I1" s="24" t="s">
        <v>63</v>
      </c>
      <c r="J1" s="23" t="s">
        <v>64</v>
      </c>
      <c r="K1" s="24" t="s">
        <v>65</v>
      </c>
      <c r="L1" s="23" t="s">
        <v>66</v>
      </c>
      <c r="M1" s="24" t="s">
        <v>67</v>
      </c>
      <c r="N1" s="23" t="s">
        <v>68</v>
      </c>
      <c r="O1" s="24" t="s">
        <v>69</v>
      </c>
      <c r="P1" s="23" t="s">
        <v>70</v>
      </c>
      <c r="Q1" s="22" t="s">
        <v>71</v>
      </c>
      <c r="R1" s="23" t="s">
        <v>72</v>
      </c>
      <c r="S1" s="22" t="s">
        <v>73</v>
      </c>
      <c r="T1" s="23" t="s">
        <v>74</v>
      </c>
      <c r="U1" s="24" t="s">
        <v>75</v>
      </c>
      <c r="V1" s="23" t="s">
        <v>76</v>
      </c>
      <c r="W1" s="24" t="s">
        <v>77</v>
      </c>
      <c r="X1" s="54"/>
      <c r="Y1" s="23" t="s">
        <v>78</v>
      </c>
      <c r="Z1" s="24" t="s">
        <v>79</v>
      </c>
      <c r="AA1" s="23" t="s">
        <v>80</v>
      </c>
      <c r="AB1" s="24" t="s">
        <v>81</v>
      </c>
      <c r="AC1" s="23" t="s">
        <v>82</v>
      </c>
      <c r="AD1" s="22" t="s">
        <v>83</v>
      </c>
      <c r="AE1" s="23" t="s">
        <v>84</v>
      </c>
      <c r="AF1" s="22" t="s">
        <v>85</v>
      </c>
      <c r="AG1" s="23" t="s">
        <v>86</v>
      </c>
      <c r="AH1" s="24" t="s">
        <v>87</v>
      </c>
      <c r="AI1" s="23" t="s">
        <v>88</v>
      </c>
      <c r="AJ1" s="24" t="s">
        <v>89</v>
      </c>
      <c r="AK1" s="24"/>
      <c r="AL1" s="11" t="s">
        <v>90</v>
      </c>
      <c r="AM1" s="12" t="s">
        <v>91</v>
      </c>
      <c r="AN1" s="11" t="s">
        <v>92</v>
      </c>
      <c r="AO1" s="12" t="s">
        <v>93</v>
      </c>
      <c r="AP1" s="11" t="s">
        <v>94</v>
      </c>
      <c r="AQ1" s="10" t="s">
        <v>95</v>
      </c>
      <c r="AR1" s="11" t="s">
        <v>96</v>
      </c>
      <c r="AS1" s="22" t="s">
        <v>97</v>
      </c>
      <c r="AT1" s="11" t="s">
        <v>98</v>
      </c>
      <c r="AU1" s="34" t="s">
        <v>99</v>
      </c>
      <c r="AV1" s="38" t="s">
        <v>100</v>
      </c>
      <c r="AW1" s="39" t="s">
        <v>101</v>
      </c>
      <c r="AX1" s="38" t="s">
        <v>102</v>
      </c>
      <c r="AY1" s="10" t="s">
        <v>103</v>
      </c>
      <c r="AZ1" s="11" t="s">
        <v>104</v>
      </c>
      <c r="BA1" s="10" t="s">
        <v>105</v>
      </c>
      <c r="BB1" s="11" t="s">
        <v>106</v>
      </c>
      <c r="BC1" s="10" t="s">
        <v>107</v>
      </c>
      <c r="BD1" s="38" t="s">
        <v>108</v>
      </c>
      <c r="BE1" s="39" t="s">
        <v>109</v>
      </c>
      <c r="BF1" s="38" t="s">
        <v>110</v>
      </c>
      <c r="BG1" s="39" t="s">
        <v>111</v>
      </c>
      <c r="BH1" s="11" t="s">
        <v>112</v>
      </c>
      <c r="BI1" s="10" t="s">
        <v>113</v>
      </c>
      <c r="BJ1" s="11" t="s">
        <v>114</v>
      </c>
      <c r="BK1" s="10" t="s">
        <v>115</v>
      </c>
      <c r="BL1" s="11" t="s">
        <v>116</v>
      </c>
      <c r="BM1" s="10" t="s">
        <v>117</v>
      </c>
      <c r="BN1" s="11" t="s">
        <v>118</v>
      </c>
    </row>
    <row r="2" spans="1:67" ht="94.5" customHeight="1" x14ac:dyDescent="0.25">
      <c r="A2" s="36"/>
      <c r="B2" s="37"/>
      <c r="C2" s="37"/>
      <c r="D2" s="25" t="s">
        <v>119</v>
      </c>
      <c r="E2" s="26" t="s">
        <v>120</v>
      </c>
      <c r="F2" s="27" t="s">
        <v>121</v>
      </c>
      <c r="G2" s="28" t="s">
        <v>122</v>
      </c>
      <c r="H2" s="27" t="s">
        <v>123</v>
      </c>
      <c r="I2" s="28" t="s">
        <v>124</v>
      </c>
      <c r="J2" s="27" t="s">
        <v>125</v>
      </c>
      <c r="K2" s="28" t="s">
        <v>126</v>
      </c>
      <c r="L2" s="27" t="s">
        <v>127</v>
      </c>
      <c r="M2" s="28" t="s">
        <v>128</v>
      </c>
      <c r="N2" s="27" t="s">
        <v>129</v>
      </c>
      <c r="O2" s="28" t="s">
        <v>130</v>
      </c>
      <c r="P2" s="27" t="s">
        <v>131</v>
      </c>
      <c r="Q2" s="26" t="s">
        <v>132</v>
      </c>
      <c r="R2" s="27" t="s">
        <v>133</v>
      </c>
      <c r="S2" s="28" t="s">
        <v>134</v>
      </c>
      <c r="T2" s="27" t="s">
        <v>135</v>
      </c>
      <c r="U2" s="28" t="s">
        <v>136</v>
      </c>
      <c r="V2" s="27" t="s">
        <v>137</v>
      </c>
      <c r="W2" s="28" t="s">
        <v>138</v>
      </c>
      <c r="X2" s="55" t="s">
        <v>139</v>
      </c>
      <c r="Y2" s="27" t="s">
        <v>140</v>
      </c>
      <c r="Z2" s="28" t="s">
        <v>141</v>
      </c>
      <c r="AA2" s="27" t="s">
        <v>142</v>
      </c>
      <c r="AB2" s="28" t="s">
        <v>143</v>
      </c>
      <c r="AC2" s="27" t="s">
        <v>144</v>
      </c>
      <c r="AD2" s="26" t="s">
        <v>145</v>
      </c>
      <c r="AE2" s="27" t="s">
        <v>146</v>
      </c>
      <c r="AF2" s="28" t="s">
        <v>147</v>
      </c>
      <c r="AG2" s="27" t="s">
        <v>148</v>
      </c>
      <c r="AH2" s="28" t="s">
        <v>149</v>
      </c>
      <c r="AI2" s="27" t="s">
        <v>150</v>
      </c>
      <c r="AJ2" s="28" t="s">
        <v>151</v>
      </c>
      <c r="AK2" s="28" t="s">
        <v>152</v>
      </c>
      <c r="AL2" s="18" t="s">
        <v>153</v>
      </c>
      <c r="AM2" s="19" t="s">
        <v>154</v>
      </c>
      <c r="AN2" s="18" t="s">
        <v>155</v>
      </c>
      <c r="AO2" s="19" t="s">
        <v>156</v>
      </c>
      <c r="AP2" s="18" t="s">
        <v>157</v>
      </c>
      <c r="AQ2" s="17" t="s">
        <v>158</v>
      </c>
      <c r="AR2" s="18" t="s">
        <v>159</v>
      </c>
      <c r="AS2" s="28" t="s">
        <v>160</v>
      </c>
      <c r="AT2" s="18" t="s">
        <v>161</v>
      </c>
      <c r="AU2" s="35" t="s">
        <v>162</v>
      </c>
      <c r="AV2" s="40" t="s">
        <v>163</v>
      </c>
      <c r="AW2" s="41" t="s">
        <v>164</v>
      </c>
      <c r="AX2" s="40" t="s">
        <v>165</v>
      </c>
      <c r="AY2" s="19" t="s">
        <v>166</v>
      </c>
      <c r="AZ2" s="18" t="s">
        <v>167</v>
      </c>
      <c r="BA2" s="19" t="s">
        <v>168</v>
      </c>
      <c r="BB2" s="18" t="s">
        <v>169</v>
      </c>
      <c r="BC2" s="17" t="s">
        <v>170</v>
      </c>
      <c r="BD2" s="40" t="s">
        <v>171</v>
      </c>
      <c r="BE2" s="43" t="s">
        <v>172</v>
      </c>
      <c r="BF2" s="40" t="s">
        <v>173</v>
      </c>
      <c r="BG2" s="43" t="s">
        <v>174</v>
      </c>
      <c r="BH2" s="18" t="s">
        <v>175</v>
      </c>
      <c r="BI2" s="17" t="s">
        <v>176</v>
      </c>
      <c r="BJ2" s="18" t="s">
        <v>177</v>
      </c>
      <c r="BK2" s="19" t="s">
        <v>178</v>
      </c>
      <c r="BL2" s="18" t="s">
        <v>179</v>
      </c>
      <c r="BM2" s="19" t="s">
        <v>180</v>
      </c>
      <c r="BN2" s="18" t="s">
        <v>181</v>
      </c>
    </row>
    <row r="3" spans="1:67" ht="28.5" customHeight="1" x14ac:dyDescent="0.25">
      <c r="A3" s="36"/>
      <c r="B3" s="37"/>
      <c r="C3" s="37"/>
      <c r="D3" s="29" t="s">
        <v>182</v>
      </c>
      <c r="E3" s="30" t="s">
        <v>11</v>
      </c>
      <c r="F3" s="30" t="s">
        <v>11</v>
      </c>
      <c r="G3" s="30" t="s">
        <v>11</v>
      </c>
      <c r="H3" s="30" t="s">
        <v>11</v>
      </c>
      <c r="I3" s="30" t="s">
        <v>11</v>
      </c>
      <c r="J3" s="30" t="s">
        <v>11</v>
      </c>
      <c r="K3" s="30" t="s">
        <v>11</v>
      </c>
      <c r="L3" s="30" t="s">
        <v>11</v>
      </c>
      <c r="M3" s="30" t="s">
        <v>11</v>
      </c>
      <c r="N3" s="30" t="s">
        <v>11</v>
      </c>
      <c r="O3" s="30" t="s">
        <v>11</v>
      </c>
      <c r="P3" s="30" t="s">
        <v>11</v>
      </c>
      <c r="Q3" s="30" t="s">
        <v>11</v>
      </c>
      <c r="R3" s="30" t="s">
        <v>11</v>
      </c>
      <c r="S3" s="30" t="s">
        <v>11</v>
      </c>
      <c r="T3" s="30" t="s">
        <v>11</v>
      </c>
      <c r="U3" s="30" t="s">
        <v>11</v>
      </c>
      <c r="V3" s="30" t="s">
        <v>11</v>
      </c>
      <c r="W3" s="30" t="s">
        <v>11</v>
      </c>
      <c r="X3" s="56" t="s">
        <v>11</v>
      </c>
      <c r="Y3" s="30" t="s">
        <v>11</v>
      </c>
      <c r="Z3" s="30" t="s">
        <v>11</v>
      </c>
      <c r="AA3" s="30" t="s">
        <v>11</v>
      </c>
      <c r="AB3" s="30" t="s">
        <v>11</v>
      </c>
      <c r="AC3" s="30" t="s">
        <v>11</v>
      </c>
      <c r="AD3" s="30" t="s">
        <v>11</v>
      </c>
      <c r="AE3" s="30" t="s">
        <v>11</v>
      </c>
      <c r="AF3" s="30" t="s">
        <v>11</v>
      </c>
      <c r="AG3" s="30" t="s">
        <v>11</v>
      </c>
      <c r="AH3" s="30" t="s">
        <v>11</v>
      </c>
      <c r="AI3" s="30" t="s">
        <v>11</v>
      </c>
      <c r="AJ3" s="30" t="s">
        <v>11</v>
      </c>
      <c r="AK3" s="30" t="s">
        <v>11</v>
      </c>
      <c r="AL3" s="13" t="s">
        <v>11</v>
      </c>
      <c r="AM3" s="13" t="s">
        <v>11</v>
      </c>
      <c r="AN3" s="13" t="s">
        <v>11</v>
      </c>
      <c r="AO3" s="13" t="s">
        <v>11</v>
      </c>
      <c r="AP3" s="13" t="s">
        <v>11</v>
      </c>
      <c r="AQ3" s="13" t="s">
        <v>11</v>
      </c>
      <c r="AR3" s="13" t="s">
        <v>11</v>
      </c>
      <c r="AS3" s="33" t="s">
        <v>12</v>
      </c>
      <c r="AT3" s="20" t="s">
        <v>12</v>
      </c>
      <c r="AU3" s="49"/>
      <c r="AV3" s="42" t="s">
        <v>183</v>
      </c>
      <c r="AW3" s="42" t="s">
        <v>183</v>
      </c>
      <c r="AX3" s="42" t="s">
        <v>183</v>
      </c>
      <c r="AY3" s="50"/>
      <c r="AZ3" s="11"/>
      <c r="BA3" s="8"/>
      <c r="BB3" s="11"/>
      <c r="BC3" s="45"/>
      <c r="BD3" s="42" t="s">
        <v>14</v>
      </c>
      <c r="BE3" s="42" t="s">
        <v>14</v>
      </c>
      <c r="BF3" s="47" t="s">
        <v>15</v>
      </c>
      <c r="BG3" s="44"/>
      <c r="BH3" s="46"/>
      <c r="BI3" s="13"/>
      <c r="BJ3" s="11"/>
      <c r="BK3" s="8"/>
      <c r="BL3" s="11"/>
      <c r="BM3" s="8"/>
      <c r="BN3" s="11"/>
    </row>
    <row r="4" spans="1:67" ht="36.75" customHeight="1" x14ac:dyDescent="0.25">
      <c r="A4" s="36"/>
      <c r="B4" s="37"/>
      <c r="C4" s="37"/>
      <c r="D4" s="31" t="s">
        <v>184</v>
      </c>
      <c r="E4" s="32">
        <v>7144</v>
      </c>
      <c r="F4" s="32">
        <v>1787</v>
      </c>
      <c r="G4" s="32">
        <v>1124</v>
      </c>
      <c r="H4" s="32">
        <v>369</v>
      </c>
      <c r="I4" s="32">
        <v>0</v>
      </c>
      <c r="J4" s="32">
        <v>4</v>
      </c>
      <c r="K4" s="32">
        <v>0</v>
      </c>
      <c r="L4" s="32">
        <v>7</v>
      </c>
      <c r="M4" s="32">
        <v>203</v>
      </c>
      <c r="N4" s="32">
        <v>32</v>
      </c>
      <c r="O4" s="32">
        <v>0</v>
      </c>
      <c r="P4" s="32">
        <v>48</v>
      </c>
      <c r="Q4" s="32">
        <v>5357</v>
      </c>
      <c r="R4" s="32">
        <v>34</v>
      </c>
      <c r="S4" s="32">
        <v>34</v>
      </c>
      <c r="T4" s="32">
        <v>0</v>
      </c>
      <c r="U4" s="32">
        <v>5323</v>
      </c>
      <c r="V4" s="32">
        <v>4120</v>
      </c>
      <c r="W4" s="32">
        <v>1203</v>
      </c>
      <c r="X4" s="57">
        <f>SUM(E4:W4)</f>
        <v>26789</v>
      </c>
      <c r="Y4" s="32">
        <v>32.764000000000003</v>
      </c>
      <c r="Z4" s="32">
        <v>32.764000000000003</v>
      </c>
      <c r="AA4" s="32">
        <v>0</v>
      </c>
      <c r="AB4" s="32">
        <v>0</v>
      </c>
      <c r="AC4" s="32">
        <v>0</v>
      </c>
      <c r="AD4" s="32">
        <v>0.15300000000000002</v>
      </c>
      <c r="AE4" s="32">
        <v>0</v>
      </c>
      <c r="AF4" s="32">
        <v>0</v>
      </c>
      <c r="AG4" s="32">
        <v>14.7385</v>
      </c>
      <c r="AH4" s="32">
        <v>17.872500000000002</v>
      </c>
      <c r="AI4" s="32">
        <v>0</v>
      </c>
      <c r="AJ4" s="32">
        <v>0</v>
      </c>
      <c r="AK4" s="53">
        <f>SUM(Y4:AJ4)</f>
        <v>98.292000000000016</v>
      </c>
      <c r="AS4" s="32">
        <v>21590</v>
      </c>
      <c r="AV4" s="48">
        <v>63979.28</v>
      </c>
      <c r="AW4" s="48">
        <v>43031.88</v>
      </c>
      <c r="AX4" s="48">
        <f>AV4+AW4</f>
        <v>107011.16</v>
      </c>
      <c r="BD4" s="48">
        <v>1.6565387770435098</v>
      </c>
      <c r="BE4" s="48">
        <v>1.6565387770435098</v>
      </c>
      <c r="BF4" s="48">
        <v>14863657</v>
      </c>
      <c r="BG4" s="48"/>
      <c r="BO4" s="9"/>
    </row>
    <row r="5" spans="1:67" ht="45" x14ac:dyDescent="0.25">
      <c r="A5" s="4" t="s">
        <v>20</v>
      </c>
      <c r="B5" s="4" t="s">
        <v>185</v>
      </c>
      <c r="C5" s="4" t="s">
        <v>186</v>
      </c>
    </row>
    <row r="6" spans="1:67" ht="57" x14ac:dyDescent="0.25">
      <c r="A6" s="2" t="s">
        <v>21</v>
      </c>
      <c r="B6" s="2" t="s">
        <v>187</v>
      </c>
      <c r="C6" s="5" t="s">
        <v>188</v>
      </c>
    </row>
    <row r="7" spans="1:67" x14ac:dyDescent="0.25">
      <c r="A7" s="3"/>
      <c r="B7" s="2" t="s">
        <v>189</v>
      </c>
      <c r="C7" s="5" t="s">
        <v>190</v>
      </c>
    </row>
    <row r="8" spans="1:67" x14ac:dyDescent="0.25">
      <c r="A8" s="3"/>
      <c r="B8" s="2" t="s">
        <v>191</v>
      </c>
      <c r="C8" s="5" t="s">
        <v>192</v>
      </c>
    </row>
    <row r="9" spans="1:67" x14ac:dyDescent="0.25">
      <c r="A9" s="3"/>
      <c r="B9" s="2" t="s">
        <v>193</v>
      </c>
      <c r="C9" s="5" t="s">
        <v>194</v>
      </c>
    </row>
    <row r="10" spans="1:67" x14ac:dyDescent="0.25">
      <c r="A10" s="2" t="s">
        <v>22</v>
      </c>
      <c r="B10" s="2" t="s">
        <v>22</v>
      </c>
      <c r="C10" s="5" t="s">
        <v>195</v>
      </c>
    </row>
    <row r="11" spans="1:67" x14ac:dyDescent="0.25">
      <c r="A11" s="3"/>
      <c r="B11" s="2" t="s">
        <v>196</v>
      </c>
      <c r="C11" s="5">
        <v>6</v>
      </c>
    </row>
    <row r="12" spans="1:67" ht="28.5" x14ac:dyDescent="0.25">
      <c r="A12" s="3"/>
      <c r="B12" s="2" t="s">
        <v>197</v>
      </c>
      <c r="C12" s="5" t="s">
        <v>198</v>
      </c>
    </row>
    <row r="13" spans="1:67" ht="42.75" x14ac:dyDescent="0.25">
      <c r="A13" s="2" t="s">
        <v>23</v>
      </c>
      <c r="B13" s="2" t="s">
        <v>23</v>
      </c>
      <c r="C13" s="5" t="s">
        <v>199</v>
      </c>
    </row>
    <row r="14" spans="1:67" ht="42.75" x14ac:dyDescent="0.25">
      <c r="A14" s="2" t="s">
        <v>24</v>
      </c>
      <c r="B14" s="2" t="s">
        <v>24</v>
      </c>
      <c r="C14" s="5" t="s">
        <v>200</v>
      </c>
    </row>
    <row r="15" spans="1:67" ht="42.75" x14ac:dyDescent="0.25">
      <c r="A15" s="2" t="s">
        <v>25</v>
      </c>
      <c r="B15" s="2" t="s">
        <v>201</v>
      </c>
      <c r="C15" s="5">
        <v>16</v>
      </c>
    </row>
    <row r="16" spans="1:67" ht="28.5" x14ac:dyDescent="0.25">
      <c r="A16" s="3"/>
      <c r="B16" s="2" t="s">
        <v>202</v>
      </c>
      <c r="C16" s="5">
        <v>17</v>
      </c>
    </row>
    <row r="17" spans="1:3" ht="42.75" x14ac:dyDescent="0.25">
      <c r="A17" s="3"/>
      <c r="B17" s="2" t="s">
        <v>203</v>
      </c>
      <c r="C17" s="5">
        <v>18</v>
      </c>
    </row>
    <row r="18" spans="1:3" ht="57" x14ac:dyDescent="0.25">
      <c r="A18" s="2" t="s">
        <v>26</v>
      </c>
      <c r="B18" s="2" t="s">
        <v>26</v>
      </c>
      <c r="C18" s="5" t="s">
        <v>204</v>
      </c>
    </row>
    <row r="19" spans="1:3" ht="57" x14ac:dyDescent="0.25">
      <c r="A19" s="2" t="s">
        <v>27</v>
      </c>
      <c r="B19" s="2" t="s">
        <v>205</v>
      </c>
      <c r="C19" s="5">
        <v>22</v>
      </c>
    </row>
    <row r="20" spans="1:3" ht="42.75" x14ac:dyDescent="0.25">
      <c r="A20" s="3"/>
      <c r="B20" s="2" t="s">
        <v>206</v>
      </c>
      <c r="C20" s="5">
        <v>23</v>
      </c>
    </row>
    <row r="21" spans="1:3" ht="71.25" x14ac:dyDescent="0.25">
      <c r="A21" s="2" t="s">
        <v>28</v>
      </c>
      <c r="B21" s="2" t="s">
        <v>207</v>
      </c>
      <c r="C21" s="5">
        <v>24</v>
      </c>
    </row>
    <row r="22" spans="1:3" ht="57" x14ac:dyDescent="0.25">
      <c r="A22" s="3"/>
      <c r="B22" s="2" t="s">
        <v>208</v>
      </c>
      <c r="C22" s="5">
        <v>25</v>
      </c>
    </row>
    <row r="23" spans="1:3" ht="42.75" x14ac:dyDescent="0.25">
      <c r="A23" s="2" t="s">
        <v>29</v>
      </c>
      <c r="B23" s="2" t="s">
        <v>29</v>
      </c>
      <c r="C23" s="5">
        <v>26</v>
      </c>
    </row>
    <row r="24" spans="1:3" ht="28.5" x14ac:dyDescent="0.25">
      <c r="A24" s="2" t="s">
        <v>30</v>
      </c>
      <c r="B24" s="2" t="s">
        <v>30</v>
      </c>
      <c r="C24" s="5">
        <v>27</v>
      </c>
    </row>
    <row r="25" spans="1:3" ht="42.75" x14ac:dyDescent="0.25">
      <c r="A25" s="2" t="s">
        <v>31</v>
      </c>
      <c r="B25" s="2" t="s">
        <v>31</v>
      </c>
      <c r="C25" s="5">
        <v>28</v>
      </c>
    </row>
    <row r="26" spans="1:3" ht="42.75" x14ac:dyDescent="0.25">
      <c r="A26" s="2" t="s">
        <v>32</v>
      </c>
      <c r="B26" s="2" t="s">
        <v>209</v>
      </c>
      <c r="C26" s="5">
        <v>29</v>
      </c>
    </row>
    <row r="27" spans="1:3" ht="28.5" x14ac:dyDescent="0.25">
      <c r="A27" s="3"/>
      <c r="B27" s="2" t="s">
        <v>210</v>
      </c>
      <c r="C27" s="5">
        <v>30</v>
      </c>
    </row>
    <row r="28" spans="1:3" x14ac:dyDescent="0.25">
      <c r="A28" s="2" t="s">
        <v>33</v>
      </c>
      <c r="B28" s="2" t="s">
        <v>33</v>
      </c>
      <c r="C28" s="5" t="s">
        <v>211</v>
      </c>
    </row>
    <row r="29" spans="1:3" ht="42.75" x14ac:dyDescent="0.25">
      <c r="A29" s="3"/>
      <c r="B29" s="2" t="s">
        <v>212</v>
      </c>
      <c r="C29" s="5">
        <v>33</v>
      </c>
    </row>
    <row r="30" spans="1:3" ht="42.75" x14ac:dyDescent="0.25">
      <c r="A30" s="2" t="s">
        <v>34</v>
      </c>
      <c r="B30" s="2" t="s">
        <v>213</v>
      </c>
      <c r="C30" s="5">
        <v>35</v>
      </c>
    </row>
    <row r="31" spans="1:3" ht="28.5" x14ac:dyDescent="0.25">
      <c r="A31" s="2" t="s">
        <v>35</v>
      </c>
      <c r="B31" s="2" t="s">
        <v>214</v>
      </c>
      <c r="C31" s="5">
        <v>36</v>
      </c>
    </row>
    <row r="32" spans="1:3" x14ac:dyDescent="0.25">
      <c r="A32" s="3"/>
      <c r="B32" s="2" t="s">
        <v>215</v>
      </c>
      <c r="C32" s="5" t="s">
        <v>216</v>
      </c>
    </row>
    <row r="33" spans="1:3" x14ac:dyDescent="0.25">
      <c r="A33" s="2" t="s">
        <v>36</v>
      </c>
      <c r="B33" s="2" t="s">
        <v>36</v>
      </c>
      <c r="C33" s="5" t="s">
        <v>217</v>
      </c>
    </row>
    <row r="34" spans="1:3" ht="57" x14ac:dyDescent="0.25">
      <c r="A34" s="2" t="s">
        <v>37</v>
      </c>
      <c r="B34" s="2" t="s">
        <v>218</v>
      </c>
      <c r="C34" s="5">
        <v>45</v>
      </c>
    </row>
    <row r="35" spans="1:3" ht="42.75" x14ac:dyDescent="0.25">
      <c r="A35" s="3"/>
      <c r="B35" s="2" t="s">
        <v>219</v>
      </c>
      <c r="C35" s="5">
        <v>46</v>
      </c>
    </row>
    <row r="36" spans="1:3" ht="28.5" x14ac:dyDescent="0.25">
      <c r="A36" s="3"/>
      <c r="B36" s="2" t="s">
        <v>220</v>
      </c>
      <c r="C36" s="5">
        <v>47</v>
      </c>
    </row>
    <row r="37" spans="1:3" ht="28.5" x14ac:dyDescent="0.25">
      <c r="A37" s="2" t="s">
        <v>38</v>
      </c>
      <c r="B37" s="2" t="s">
        <v>221</v>
      </c>
      <c r="C37" s="5" t="s">
        <v>222</v>
      </c>
    </row>
    <row r="38" spans="1:3" x14ac:dyDescent="0.25">
      <c r="A38" s="3"/>
      <c r="B38" s="2" t="s">
        <v>223</v>
      </c>
      <c r="C38" s="5" t="s">
        <v>224</v>
      </c>
    </row>
    <row r="39" spans="1:3" x14ac:dyDescent="0.25">
      <c r="A39" s="3"/>
      <c r="B39" s="2" t="s">
        <v>225</v>
      </c>
      <c r="C39" s="5" t="s">
        <v>226</v>
      </c>
    </row>
    <row r="40" spans="1:3" ht="57" x14ac:dyDescent="0.25">
      <c r="A40" s="3"/>
      <c r="B40" s="2" t="s">
        <v>227</v>
      </c>
      <c r="C40" s="5" t="s">
        <v>228</v>
      </c>
    </row>
    <row r="41" spans="1:3" x14ac:dyDescent="0.25">
      <c r="A41" s="3"/>
      <c r="B41" s="2" t="s">
        <v>229</v>
      </c>
      <c r="C41" s="5">
        <v>51</v>
      </c>
    </row>
    <row r="42" spans="1:3" ht="42.75" x14ac:dyDescent="0.25">
      <c r="A42" s="3"/>
      <c r="B42" s="2" t="s">
        <v>230</v>
      </c>
      <c r="C42" s="5">
        <v>52</v>
      </c>
    </row>
    <row r="43" spans="1:3" ht="28.5" x14ac:dyDescent="0.25">
      <c r="A43" s="3"/>
      <c r="B43" s="2" t="s">
        <v>231</v>
      </c>
      <c r="C43" s="5">
        <v>53</v>
      </c>
    </row>
    <row r="44" spans="1:3" ht="28.5" x14ac:dyDescent="0.25">
      <c r="A44" s="2" t="s">
        <v>39</v>
      </c>
      <c r="B44" s="2" t="s">
        <v>39</v>
      </c>
      <c r="C44" s="5" t="s">
        <v>232</v>
      </c>
    </row>
    <row r="45" spans="1:3" ht="42.75" x14ac:dyDescent="0.25">
      <c r="A45" s="2" t="s">
        <v>40</v>
      </c>
      <c r="B45" s="2" t="s">
        <v>233</v>
      </c>
      <c r="C45" s="5">
        <v>58</v>
      </c>
    </row>
    <row r="46" spans="1:3" ht="57" x14ac:dyDescent="0.25">
      <c r="A46" s="3"/>
      <c r="B46" s="2" t="s">
        <v>234</v>
      </c>
      <c r="C46" s="5" t="s">
        <v>235</v>
      </c>
    </row>
    <row r="47" spans="1:3" x14ac:dyDescent="0.25">
      <c r="A47" s="2" t="s">
        <v>41</v>
      </c>
      <c r="B47" s="2" t="s">
        <v>41</v>
      </c>
      <c r="C47" s="5">
        <v>61</v>
      </c>
    </row>
    <row r="48" spans="1:3" ht="57" x14ac:dyDescent="0.25">
      <c r="A48" s="2" t="s">
        <v>42</v>
      </c>
      <c r="B48" s="2" t="s">
        <v>236</v>
      </c>
      <c r="C48" s="5" t="s">
        <v>237</v>
      </c>
    </row>
    <row r="49" spans="1:3" ht="57" x14ac:dyDescent="0.25">
      <c r="A49" s="2" t="s">
        <v>43</v>
      </c>
      <c r="B49" s="2" t="s">
        <v>238</v>
      </c>
      <c r="C49" s="5">
        <v>64</v>
      </c>
    </row>
    <row r="50" spans="1:3" ht="42.75" x14ac:dyDescent="0.25">
      <c r="A50" s="3"/>
      <c r="B50" s="2" t="s">
        <v>239</v>
      </c>
      <c r="C50" s="5">
        <v>65</v>
      </c>
    </row>
    <row r="51" spans="1:3" ht="42.75" x14ac:dyDescent="0.25">
      <c r="A51" s="3"/>
      <c r="B51" s="2" t="s">
        <v>240</v>
      </c>
      <c r="C51" s="5">
        <v>66</v>
      </c>
    </row>
    <row r="52" spans="1:3" ht="28.5" x14ac:dyDescent="0.25">
      <c r="A52" s="2" t="s">
        <v>44</v>
      </c>
      <c r="B52" s="2" t="s">
        <v>44</v>
      </c>
      <c r="C52" s="5" t="s">
        <v>241</v>
      </c>
    </row>
    <row r="53" spans="1:3" ht="85.5" x14ac:dyDescent="0.25">
      <c r="A53" s="2" t="s">
        <v>45</v>
      </c>
      <c r="B53" s="2" t="s">
        <v>242</v>
      </c>
      <c r="C53" s="5" t="s">
        <v>243</v>
      </c>
    </row>
    <row r="54" spans="1:3" ht="42.75" x14ac:dyDescent="0.25">
      <c r="A54" s="3"/>
      <c r="B54" s="2" t="s">
        <v>244</v>
      </c>
      <c r="C54" s="5">
        <v>71</v>
      </c>
    </row>
    <row r="55" spans="1:3" ht="28.5" x14ac:dyDescent="0.25">
      <c r="A55" s="2" t="s">
        <v>46</v>
      </c>
      <c r="B55" s="2" t="s">
        <v>46</v>
      </c>
      <c r="C55" s="5">
        <v>72</v>
      </c>
    </row>
    <row r="56" spans="1:3" ht="28.5" x14ac:dyDescent="0.25">
      <c r="A56" s="2" t="s">
        <v>47</v>
      </c>
      <c r="B56" s="2" t="s">
        <v>47</v>
      </c>
      <c r="C56" s="5">
        <v>73</v>
      </c>
    </row>
    <row r="57" spans="1:3" ht="42.75" x14ac:dyDescent="0.25">
      <c r="A57" s="3"/>
      <c r="B57" s="2" t="s">
        <v>245</v>
      </c>
      <c r="C57" s="5" t="s">
        <v>246</v>
      </c>
    </row>
    <row r="58" spans="1:3" ht="42.75" x14ac:dyDescent="0.25">
      <c r="A58" s="2" t="s">
        <v>48</v>
      </c>
      <c r="B58" s="2" t="s">
        <v>247</v>
      </c>
      <c r="C58" s="5">
        <v>77</v>
      </c>
    </row>
    <row r="59" spans="1:3" x14ac:dyDescent="0.25">
      <c r="A59" s="3"/>
      <c r="B59" s="2" t="s">
        <v>248</v>
      </c>
      <c r="C59" s="5">
        <v>78</v>
      </c>
    </row>
    <row r="60" spans="1:3" ht="42.75" x14ac:dyDescent="0.25">
      <c r="A60" s="3"/>
      <c r="B60" s="2" t="s">
        <v>249</v>
      </c>
      <c r="C60" s="5">
        <v>79</v>
      </c>
    </row>
    <row r="61" spans="1:3" ht="28.5" x14ac:dyDescent="0.25">
      <c r="A61" s="3"/>
      <c r="B61" s="2" t="s">
        <v>250</v>
      </c>
      <c r="C61" s="5" t="s">
        <v>251</v>
      </c>
    </row>
    <row r="62" spans="1:3" ht="28.5" x14ac:dyDescent="0.25">
      <c r="A62" s="2" t="s">
        <v>49</v>
      </c>
      <c r="B62" s="2" t="s">
        <v>49</v>
      </c>
      <c r="C62" s="5">
        <v>84</v>
      </c>
    </row>
    <row r="63" spans="1:3" x14ac:dyDescent="0.25">
      <c r="A63" s="2" t="s">
        <v>50</v>
      </c>
      <c r="B63" s="2" t="s">
        <v>50</v>
      </c>
      <c r="C63" s="5">
        <v>85</v>
      </c>
    </row>
    <row r="64" spans="1:3" x14ac:dyDescent="0.25">
      <c r="A64" s="2" t="s">
        <v>51</v>
      </c>
      <c r="B64" s="2" t="s">
        <v>51</v>
      </c>
      <c r="C64" s="5">
        <v>86</v>
      </c>
    </row>
    <row r="65" spans="1:3" x14ac:dyDescent="0.25">
      <c r="A65" s="2" t="s">
        <v>52</v>
      </c>
      <c r="B65" s="2" t="s">
        <v>52</v>
      </c>
      <c r="C65" s="5" t="s">
        <v>252</v>
      </c>
    </row>
    <row r="66" spans="1:3" ht="28.5" x14ac:dyDescent="0.25">
      <c r="A66" s="2" t="s">
        <v>53</v>
      </c>
      <c r="B66" s="2" t="s">
        <v>253</v>
      </c>
      <c r="C66" s="5" t="s">
        <v>254</v>
      </c>
    </row>
    <row r="67" spans="1:3" ht="42.75" x14ac:dyDescent="0.25">
      <c r="A67" s="3"/>
      <c r="B67" s="2" t="s">
        <v>255</v>
      </c>
      <c r="C67" s="5">
        <v>93</v>
      </c>
    </row>
    <row r="68" spans="1:3" ht="42.75" x14ac:dyDescent="0.25">
      <c r="A68" s="2" t="s">
        <v>54</v>
      </c>
      <c r="B68" s="2" t="s">
        <v>256</v>
      </c>
      <c r="C68" s="5" t="s">
        <v>257</v>
      </c>
    </row>
    <row r="69" spans="1:3" ht="42.75" x14ac:dyDescent="0.25">
      <c r="A69" s="3"/>
      <c r="B69" s="2" t="s">
        <v>258</v>
      </c>
      <c r="C69" s="5">
        <v>95</v>
      </c>
    </row>
    <row r="70" spans="1:3" ht="28.5" x14ac:dyDescent="0.25">
      <c r="A70" s="3"/>
      <c r="B70" s="2" t="s">
        <v>259</v>
      </c>
      <c r="C70" s="5">
        <v>96</v>
      </c>
    </row>
    <row r="71" spans="1:3" ht="57" x14ac:dyDescent="0.25">
      <c r="A71" s="2" t="s">
        <v>55</v>
      </c>
      <c r="B71" s="2" t="s">
        <v>260</v>
      </c>
      <c r="C71" s="5">
        <v>97</v>
      </c>
    </row>
    <row r="72" spans="1:3" ht="23.25" x14ac:dyDescent="0.25">
      <c r="A72" s="1" t="s">
        <v>261</v>
      </c>
    </row>
  </sheetData>
  <pageMargins left="0.7" right="0.7" top="0.75" bottom="0.75" header="0.3" footer="0.3"/>
  <pageSetup paperSize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1BE0-161D-4011-A5A1-E5187BD5CC99}">
  <dimension ref="E6:Q7"/>
  <sheetViews>
    <sheetView workbookViewId="0">
      <selection activeCell="P19" sqref="P19"/>
    </sheetView>
  </sheetViews>
  <sheetFormatPr baseColWidth="10" defaultColWidth="11.42578125" defaultRowHeight="15" x14ac:dyDescent="0.25"/>
  <sheetData>
    <row r="6" spans="5:17" x14ac:dyDescent="0.25">
      <c r="E6" s="14" t="s">
        <v>262</v>
      </c>
      <c r="F6" s="6" t="s">
        <v>263</v>
      </c>
      <c r="G6" s="15" t="s">
        <v>264</v>
      </c>
      <c r="H6" s="6" t="s">
        <v>265</v>
      </c>
      <c r="I6" s="14" t="s">
        <v>266</v>
      </c>
      <c r="J6" s="6" t="s">
        <v>267</v>
      </c>
      <c r="K6" s="14" t="s">
        <v>268</v>
      </c>
      <c r="L6" s="6" t="s">
        <v>269</v>
      </c>
      <c r="M6" s="14" t="s">
        <v>270</v>
      </c>
      <c r="N6" s="6" t="s">
        <v>271</v>
      </c>
      <c r="O6" s="14" t="s">
        <v>272</v>
      </c>
      <c r="P6" s="6" t="s">
        <v>273</v>
      </c>
      <c r="Q6" s="14" t="s">
        <v>274</v>
      </c>
    </row>
    <row r="7" spans="5:17" x14ac:dyDescent="0.25">
      <c r="E7" s="7" t="s">
        <v>275</v>
      </c>
      <c r="F7" s="6" t="s">
        <v>276</v>
      </c>
      <c r="G7" s="15" t="s">
        <v>277</v>
      </c>
      <c r="H7" s="6" t="s">
        <v>278</v>
      </c>
      <c r="I7" s="16" t="s">
        <v>279</v>
      </c>
      <c r="J7" s="6" t="s">
        <v>280</v>
      </c>
      <c r="K7" s="16" t="s">
        <v>281</v>
      </c>
      <c r="L7" s="6" t="s">
        <v>282</v>
      </c>
      <c r="M7" s="14" t="s">
        <v>283</v>
      </c>
      <c r="N7" s="6" t="s">
        <v>284</v>
      </c>
      <c r="O7" s="16" t="s">
        <v>285</v>
      </c>
      <c r="P7" s="6" t="s">
        <v>286</v>
      </c>
      <c r="Q7" s="14" t="s">
        <v>287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5D4BAC48C6043900FEF4643E353DF" ma:contentTypeVersion="16" ma:contentTypeDescription="Create a new document." ma:contentTypeScope="" ma:versionID="9c4dbcf4b48572caf60032d60f5dad06">
  <xsd:schema xmlns:xsd="http://www.w3.org/2001/XMLSchema" xmlns:xs="http://www.w3.org/2001/XMLSchema" xmlns:p="http://schemas.microsoft.com/office/2006/metadata/properties" xmlns:ns1="http://schemas.microsoft.com/sharepoint/v3" xmlns:ns2="7824230f-0596-48ea-8716-d3345b2aabe0" xmlns:ns3="fcd71c87-1f52-4309-9d8d-60ef15c82358" targetNamespace="http://schemas.microsoft.com/office/2006/metadata/properties" ma:root="true" ma:fieldsID="52db09aca3d44cc1980a67738675f066" ns1:_="" ns2:_="" ns3:_="">
    <xsd:import namespace="http://schemas.microsoft.com/sharepoint/v3"/>
    <xsd:import namespace="7824230f-0596-48ea-8716-d3345b2aabe0"/>
    <xsd:import namespace="fcd71c87-1f52-4309-9d8d-60ef15c823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4230f-0596-48ea-8716-d3345b2aa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4d9a8a8-1b53-4324-a4e9-ed20d3a5e1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71c87-1f52-4309-9d8d-60ef15c8235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2f2eef0-a888-4620-bfad-40911f08f890}" ma:internalName="TaxCatchAll" ma:showField="CatchAllData" ma:web="fcd71c87-1f52-4309-9d8d-60ef15c823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d71c87-1f52-4309-9d8d-60ef15c82358" xsi:nil="true"/>
    <_ip_UnifiedCompliancePolicyUIAction xmlns="http://schemas.microsoft.com/sharepoint/v3" xsi:nil="true"/>
    <lcf76f155ced4ddcb4097134ff3c332f xmlns="7824230f-0596-48ea-8716-d3345b2aabe0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03FD29F-3DC5-44E5-A657-619FB8CFD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60205A-E330-4807-A9BA-C40CC89F05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824230f-0596-48ea-8716-d3345b2aabe0"/>
    <ds:schemaRef ds:uri="fcd71c87-1f52-4309-9d8d-60ef15c823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C90D9D-9466-498F-B3CD-D69E75A306F6}">
  <ds:schemaRefs>
    <ds:schemaRef ds:uri="http://schemas.microsoft.com/office/2006/metadata/properties"/>
    <ds:schemaRef ds:uri="http://schemas.microsoft.com/office/infopath/2007/PartnerControls"/>
    <ds:schemaRef ds:uri="fcd71c87-1f52-4309-9d8d-60ef15c82358"/>
    <ds:schemaRef ds:uri="http://schemas.microsoft.com/sharepoint/v3"/>
    <ds:schemaRef ds:uri="7824230f-0596-48ea-8716-d3345b2aab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USE IND (A38) - ES (7)_ADJ</vt:lpstr>
      <vt:lpstr>USE IND (A38) - ES (7) </vt:lpstr>
      <vt:lpstr>ENCORE average</vt:lpstr>
      <vt:lpstr>USE ES to Industries </vt:lpstr>
      <vt:lpstr>SUPPLY ES from Ecosystems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Grimsrud, Kristine M.</dc:creator>
  <cp:keywords/>
  <dc:description/>
  <cp:lastModifiedBy>Merkle, Magnus</cp:lastModifiedBy>
  <cp:revision/>
  <dcterms:created xsi:type="dcterms:W3CDTF">2025-10-29T12:07:28Z</dcterms:created>
  <dcterms:modified xsi:type="dcterms:W3CDTF">2025-12-11T13:16:32Z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0x010100B035D4BAC48C6043900FEF4643E353DF</vt:lpwstr>
  </property>
  <property fmtid="{D5CDD505-2E9C-101B-9397-08002B2CF9AE}" pid="3" name="MediaServiceImageTags">
    <vt:lpwstr/>
  </property>
</Properties>
</file>